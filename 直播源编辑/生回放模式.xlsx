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68" i="1" l="1"/>
  <c r="N67" i="1"/>
  <c r="O66" i="1"/>
  <c r="N66" i="1"/>
  <c r="O65" i="1"/>
  <c r="N65" i="1"/>
  <c r="O64" i="1"/>
  <c r="N64" i="1"/>
  <c r="H64" i="1"/>
  <c r="O63" i="1"/>
  <c r="N63" i="1"/>
  <c r="H63" i="1"/>
  <c r="O62" i="1"/>
  <c r="N62" i="1"/>
  <c r="H62" i="1"/>
  <c r="O61" i="1"/>
  <c r="N61" i="1"/>
  <c r="H61" i="1"/>
  <c r="O60" i="1"/>
  <c r="N60" i="1"/>
  <c r="H60" i="1"/>
  <c r="O59" i="1"/>
  <c r="N59" i="1"/>
  <c r="H59" i="1"/>
  <c r="O58" i="1"/>
  <c r="N58" i="1"/>
  <c r="H58" i="1"/>
  <c r="O57" i="1"/>
  <c r="N57" i="1"/>
  <c r="H57" i="1"/>
  <c r="O56" i="1"/>
  <c r="N56" i="1"/>
  <c r="H56" i="1"/>
  <c r="O55" i="1"/>
  <c r="N55" i="1"/>
  <c r="H55" i="1"/>
  <c r="O54" i="1"/>
  <c r="N54" i="1"/>
  <c r="H54" i="1"/>
  <c r="O53" i="1"/>
  <c r="N53" i="1"/>
  <c r="H53" i="1"/>
  <c r="O52" i="1"/>
  <c r="N52" i="1"/>
  <c r="H52" i="1"/>
  <c r="O51" i="1"/>
  <c r="N51" i="1"/>
  <c r="H51" i="1"/>
  <c r="O50" i="1"/>
  <c r="L50" i="1"/>
  <c r="J50" i="1"/>
  <c r="D50" i="1"/>
  <c r="N50" i="1" s="1"/>
  <c r="O49" i="1"/>
  <c r="N49" i="1"/>
  <c r="L49" i="1"/>
  <c r="J49" i="1"/>
  <c r="D49" i="1"/>
  <c r="H49" i="1" s="1"/>
  <c r="O48" i="1"/>
  <c r="N48" i="1"/>
  <c r="L48" i="1"/>
  <c r="J48" i="1"/>
  <c r="D48" i="1"/>
  <c r="H48" i="1" s="1"/>
  <c r="O47" i="1"/>
  <c r="L47" i="1"/>
  <c r="J47" i="1"/>
  <c r="D47" i="1"/>
  <c r="N47" i="1" s="1"/>
  <c r="O46" i="1"/>
  <c r="L46" i="1"/>
  <c r="J46" i="1"/>
  <c r="D46" i="1"/>
  <c r="N46" i="1" s="1"/>
  <c r="O45" i="1"/>
  <c r="N45" i="1"/>
  <c r="L45" i="1"/>
  <c r="J45" i="1"/>
  <c r="D45" i="1"/>
  <c r="H45" i="1" s="1"/>
  <c r="L44" i="1"/>
  <c r="J44" i="1"/>
  <c r="E44" i="1"/>
  <c r="O44" i="1" s="1"/>
  <c r="D44" i="1"/>
  <c r="H44" i="1" s="1"/>
  <c r="L43" i="1"/>
  <c r="J43" i="1"/>
  <c r="E43" i="1"/>
  <c r="O43" i="1" s="1"/>
  <c r="D43" i="1"/>
  <c r="H43" i="1" s="1"/>
  <c r="L42" i="1"/>
  <c r="J42" i="1"/>
  <c r="E42" i="1"/>
  <c r="O42" i="1" s="1"/>
  <c r="D42" i="1"/>
  <c r="H42" i="1" s="1"/>
  <c r="L41" i="1"/>
  <c r="J41" i="1"/>
  <c r="E41" i="1"/>
  <c r="O41" i="1" s="1"/>
  <c r="D41" i="1"/>
  <c r="H41" i="1" s="1"/>
  <c r="L40" i="1"/>
  <c r="J40" i="1"/>
  <c r="E40" i="1"/>
  <c r="O40" i="1" s="1"/>
  <c r="D40" i="1"/>
  <c r="H40" i="1" s="1"/>
  <c r="L39" i="1"/>
  <c r="J39" i="1"/>
  <c r="E39" i="1"/>
  <c r="O39" i="1" s="1"/>
  <c r="D39" i="1"/>
  <c r="H39" i="1" s="1"/>
  <c r="L38" i="1"/>
  <c r="J38" i="1"/>
  <c r="E38" i="1"/>
  <c r="O38" i="1" s="1"/>
  <c r="D38" i="1"/>
  <c r="H38" i="1" s="1"/>
  <c r="L37" i="1"/>
  <c r="J37" i="1"/>
  <c r="E37" i="1"/>
  <c r="O37" i="1" s="1"/>
  <c r="D37" i="1"/>
  <c r="H37" i="1" s="1"/>
  <c r="L36" i="1"/>
  <c r="J36" i="1"/>
  <c r="E36" i="1"/>
  <c r="O36" i="1" s="1"/>
  <c r="D36" i="1"/>
  <c r="H36" i="1" s="1"/>
  <c r="L35" i="1"/>
  <c r="J35" i="1"/>
  <c r="E35" i="1"/>
  <c r="O35" i="1" s="1"/>
  <c r="D35" i="1"/>
  <c r="H35" i="1" s="1"/>
  <c r="L34" i="1"/>
  <c r="J34" i="1"/>
  <c r="E34" i="1"/>
  <c r="O34" i="1" s="1"/>
  <c r="D34" i="1"/>
  <c r="H34" i="1" s="1"/>
  <c r="L33" i="1"/>
  <c r="J33" i="1"/>
  <c r="E33" i="1"/>
  <c r="O33" i="1" s="1"/>
  <c r="D33" i="1"/>
  <c r="H33" i="1" s="1"/>
  <c r="L32" i="1"/>
  <c r="J32" i="1"/>
  <c r="E32" i="1"/>
  <c r="O32" i="1" s="1"/>
  <c r="D32" i="1"/>
  <c r="H32" i="1" s="1"/>
  <c r="L31" i="1"/>
  <c r="J31" i="1"/>
  <c r="E31" i="1"/>
  <c r="O31" i="1" s="1"/>
  <c r="D31" i="1"/>
  <c r="H31" i="1" s="1"/>
  <c r="L30" i="1"/>
  <c r="J30" i="1"/>
  <c r="E30" i="1"/>
  <c r="O30" i="1" s="1"/>
  <c r="D30" i="1"/>
  <c r="H30" i="1" s="1"/>
  <c r="L29" i="1"/>
  <c r="J29" i="1"/>
  <c r="E29" i="1"/>
  <c r="O29" i="1" s="1"/>
  <c r="D29" i="1"/>
  <c r="H29" i="1" s="1"/>
  <c r="L28" i="1"/>
  <c r="J28" i="1"/>
  <c r="E28" i="1"/>
  <c r="O28" i="1" s="1"/>
  <c r="D28" i="1"/>
  <c r="H28" i="1" s="1"/>
  <c r="L27" i="1"/>
  <c r="J27" i="1"/>
  <c r="E27" i="1"/>
  <c r="O27" i="1" s="1"/>
  <c r="D27" i="1"/>
  <c r="H27" i="1" s="1"/>
  <c r="L26" i="1"/>
  <c r="J26" i="1"/>
  <c r="E26" i="1"/>
  <c r="O26" i="1" s="1"/>
  <c r="D26" i="1"/>
  <c r="H26" i="1" s="1"/>
  <c r="L25" i="1"/>
  <c r="J25" i="1"/>
  <c r="E25" i="1"/>
  <c r="O25" i="1" s="1"/>
  <c r="D25" i="1"/>
  <c r="H25" i="1" s="1"/>
  <c r="L24" i="1"/>
  <c r="J24" i="1"/>
  <c r="E24" i="1"/>
  <c r="O24" i="1" s="1"/>
  <c r="D24" i="1"/>
  <c r="H24" i="1" s="1"/>
  <c r="L23" i="1"/>
  <c r="J23" i="1"/>
  <c r="E23" i="1"/>
  <c r="O23" i="1" s="1"/>
  <c r="D23" i="1"/>
  <c r="H23" i="1" s="1"/>
  <c r="L22" i="1"/>
  <c r="J22" i="1"/>
  <c r="E22" i="1"/>
  <c r="O22" i="1" s="1"/>
  <c r="D22" i="1"/>
  <c r="H22" i="1" s="1"/>
  <c r="L21" i="1"/>
  <c r="J21" i="1"/>
  <c r="E21" i="1"/>
  <c r="O21" i="1" s="1"/>
  <c r="D21" i="1"/>
  <c r="H21" i="1" s="1"/>
  <c r="L20" i="1"/>
  <c r="J20" i="1"/>
  <c r="E20" i="1"/>
  <c r="O20" i="1" s="1"/>
  <c r="D20" i="1"/>
  <c r="H20" i="1" s="1"/>
  <c r="L19" i="1"/>
  <c r="J19" i="1"/>
  <c r="E19" i="1"/>
  <c r="O19" i="1" s="1"/>
  <c r="D19" i="1"/>
  <c r="H19" i="1" s="1"/>
  <c r="L18" i="1"/>
  <c r="J18" i="1"/>
  <c r="E18" i="1"/>
  <c r="O18" i="1" s="1"/>
  <c r="D18" i="1"/>
  <c r="H18" i="1" s="1"/>
  <c r="L17" i="1"/>
  <c r="J17" i="1"/>
  <c r="E17" i="1"/>
  <c r="O17" i="1" s="1"/>
  <c r="D17" i="1"/>
  <c r="H17" i="1" s="1"/>
  <c r="L16" i="1"/>
  <c r="J16" i="1"/>
  <c r="E16" i="1"/>
  <c r="O16" i="1" s="1"/>
  <c r="D16" i="1"/>
  <c r="H16" i="1" s="1"/>
  <c r="L15" i="1"/>
  <c r="J15" i="1"/>
  <c r="E15" i="1"/>
  <c r="O15" i="1" s="1"/>
  <c r="D15" i="1"/>
  <c r="H15" i="1" s="1"/>
  <c r="L14" i="1"/>
  <c r="J14" i="1"/>
  <c r="E14" i="1"/>
  <c r="O14" i="1" s="1"/>
  <c r="D14" i="1"/>
  <c r="H14" i="1" s="1"/>
  <c r="L13" i="1"/>
  <c r="J13" i="1"/>
  <c r="E13" i="1"/>
  <c r="O13" i="1" s="1"/>
  <c r="D13" i="1"/>
  <c r="H13" i="1" s="1"/>
  <c r="L12" i="1"/>
  <c r="J12" i="1"/>
  <c r="E12" i="1"/>
  <c r="O12" i="1" s="1"/>
  <c r="D12" i="1"/>
  <c r="H12" i="1" s="1"/>
  <c r="L11" i="1"/>
  <c r="J11" i="1"/>
  <c r="E11" i="1"/>
  <c r="O11" i="1" s="1"/>
  <c r="D11" i="1"/>
  <c r="H11" i="1" s="1"/>
  <c r="L10" i="1"/>
  <c r="J10" i="1"/>
  <c r="E10" i="1"/>
  <c r="O10" i="1" s="1"/>
  <c r="D10" i="1"/>
  <c r="H10" i="1" s="1"/>
  <c r="L9" i="1"/>
  <c r="J9" i="1"/>
  <c r="E9" i="1"/>
  <c r="O9" i="1" s="1"/>
  <c r="D9" i="1"/>
  <c r="H9" i="1" s="1"/>
  <c r="L8" i="1"/>
  <c r="J8" i="1"/>
  <c r="E8" i="1"/>
  <c r="O8" i="1" s="1"/>
  <c r="D8" i="1"/>
  <c r="H8" i="1" s="1"/>
  <c r="L7" i="1"/>
  <c r="J7" i="1"/>
  <c r="E7" i="1"/>
  <c r="O7" i="1" s="1"/>
  <c r="D7" i="1"/>
  <c r="H7" i="1" s="1"/>
  <c r="L6" i="1"/>
  <c r="J6" i="1"/>
  <c r="E6" i="1"/>
  <c r="O6" i="1" s="1"/>
  <c r="D6" i="1"/>
  <c r="H6" i="1" s="1"/>
  <c r="L5" i="1"/>
  <c r="J5" i="1"/>
  <c r="E5" i="1"/>
  <c r="O5" i="1" s="1"/>
  <c r="D5" i="1"/>
  <c r="H5" i="1" s="1"/>
  <c r="L4" i="1"/>
  <c r="J4" i="1"/>
  <c r="E4" i="1"/>
  <c r="O4" i="1" s="1"/>
  <c r="D4" i="1"/>
  <c r="H4" i="1" s="1"/>
  <c r="L3" i="1"/>
  <c r="J3" i="1"/>
  <c r="E3" i="1"/>
  <c r="O3" i="1" s="1"/>
  <c r="D3" i="1"/>
  <c r="H3" i="1" s="1"/>
  <c r="L2" i="1"/>
  <c r="J2" i="1"/>
  <c r="E2" i="1"/>
  <c r="O2" i="1" s="1"/>
  <c r="D2" i="1"/>
  <c r="H2" i="1" s="1"/>
  <c r="F6" i="1" l="1"/>
  <c r="F20" i="1"/>
  <c r="F34" i="1"/>
  <c r="F42" i="1"/>
  <c r="F40" i="1"/>
  <c r="F44" i="1"/>
  <c r="F2" i="1"/>
  <c r="F15" i="1"/>
  <c r="F23" i="1"/>
  <c r="F25" i="1"/>
  <c r="F39" i="1"/>
  <c r="F41" i="1"/>
  <c r="F21" i="1"/>
  <c r="F26" i="1"/>
  <c r="F5" i="1"/>
  <c r="N4" i="1"/>
  <c r="F4" i="1" s="1"/>
  <c r="N7" i="1"/>
  <c r="F7" i="1" s="1"/>
  <c r="N9" i="1"/>
  <c r="F9" i="1" s="1"/>
  <c r="N12" i="1"/>
  <c r="F12" i="1" s="1"/>
  <c r="N14" i="1"/>
  <c r="F14" i="1" s="1"/>
  <c r="N17" i="1"/>
  <c r="F17" i="1" s="1"/>
  <c r="N19" i="1"/>
  <c r="F19" i="1" s="1"/>
  <c r="N21" i="1"/>
  <c r="N24" i="1"/>
  <c r="F24" i="1" s="1"/>
  <c r="N26" i="1"/>
  <c r="N28" i="1"/>
  <c r="F28" i="1" s="1"/>
  <c r="N31" i="1"/>
  <c r="F31" i="1" s="1"/>
  <c r="N37" i="1"/>
  <c r="F37" i="1" s="1"/>
  <c r="H47" i="1"/>
  <c r="N2" i="1"/>
  <c r="N3" i="1"/>
  <c r="F3" i="1" s="1"/>
  <c r="N5" i="1"/>
  <c r="N6" i="1"/>
  <c r="N8" i="1"/>
  <c r="F8" i="1" s="1"/>
  <c r="N10" i="1"/>
  <c r="F10" i="1" s="1"/>
  <c r="N11" i="1"/>
  <c r="F11" i="1" s="1"/>
  <c r="N13" i="1"/>
  <c r="F13" i="1" s="1"/>
  <c r="N15" i="1"/>
  <c r="N16" i="1"/>
  <c r="F16" i="1" s="1"/>
  <c r="N18" i="1"/>
  <c r="F18" i="1" s="1"/>
  <c r="N20" i="1"/>
  <c r="N22" i="1"/>
  <c r="F22" i="1" s="1"/>
  <c r="N23" i="1"/>
  <c r="N25" i="1"/>
  <c r="N27" i="1"/>
  <c r="F27" i="1" s="1"/>
  <c r="N29" i="1"/>
  <c r="F29" i="1" s="1"/>
  <c r="N30" i="1"/>
  <c r="F30" i="1" s="1"/>
  <c r="N32" i="1"/>
  <c r="F32" i="1" s="1"/>
  <c r="N33" i="1"/>
  <c r="F33" i="1" s="1"/>
  <c r="N34" i="1"/>
  <c r="N35" i="1"/>
  <c r="F35" i="1" s="1"/>
  <c r="N36" i="1"/>
  <c r="F36" i="1" s="1"/>
  <c r="N38" i="1"/>
  <c r="F38" i="1" s="1"/>
  <c r="N39" i="1"/>
  <c r="N40" i="1"/>
  <c r="N41" i="1"/>
  <c r="N42" i="1"/>
  <c r="N43" i="1"/>
  <c r="F43" i="1" s="1"/>
  <c r="N44" i="1"/>
  <c r="H46" i="1"/>
  <c r="H50" i="1"/>
</calcChain>
</file>

<file path=xl/sharedStrings.xml><?xml version="1.0" encoding="utf-8"?>
<sst xmlns="http://schemas.openxmlformats.org/spreadsheetml/2006/main" count="318" uniqueCount="56">
  <si>
    <t>分类</t>
  </si>
  <si>
    <t>直播源</t>
  </si>
  <si>
    <t>频道名称</t>
  </si>
  <si>
    <t>地址</t>
  </si>
  <si>
    <t>生成的文件</t>
  </si>
  <si>
    <t>台名</t>
  </si>
  <si>
    <t>网址</t>
  </si>
  <si>
    <t>☘️ 上海频道,#genre#</t>
  </si>
  <si>
    <t>第一财经,http://t.061899.xyz/tl/tl.php?id=dycj</t>
  </si>
  <si>
    <t>#EXTINF:-1 tvg-name="</t>
  </si>
  <si>
    <t>"  group-title="</t>
  </si>
  <si>
    <t>" tvg-shift="0" catchup="default" catchup-days="7" catchup-source="</t>
  </si>
  <si>
    <t>?startTime=${(b)10}&amp;endTime=${(e)10}" resolution="1920x1080" ,</t>
  </si>
  <si>
    <t>🌊港澳频道</t>
  </si>
  <si>
    <t xml:space="preserve">凤凰资讯,http://t.061899.xyz/tl/js/js.php?id=fhwszxt </t>
  </si>
  <si>
    <t xml:space="preserve">凤凰中文,http://t.061899.xyz/tl/js/js.php?id=fhwszwt </t>
  </si>
  <si>
    <t>凤凰中文,http://61.184.46.85:85/tsfile/live/1029_1.m3u8?key=txiptv&amp;playlive=1&amp;authid=0</t>
  </si>
  <si>
    <t>港澳</t>
  </si>
  <si>
    <t xml:space="preserve">凤凰中文,http://r.jdshipin.com/cCCzW </t>
  </si>
  <si>
    <t xml:space="preserve">凤凰中文,http://cdn6.163189.xyz/163189/fhzw </t>
  </si>
  <si>
    <t xml:space="preserve">凤凰香港,http://r.jdshipin.com/yDoTN </t>
  </si>
  <si>
    <t xml:space="preserve">凤凰香港,http://cdn6.163189.xyz/163189/fhhk </t>
  </si>
  <si>
    <t>亚洲卫视,https://p2hs.vzan.com/slowlive/821481626725612420/live.m3u8</t>
  </si>
  <si>
    <t>环球电视台,http://utv1.hqtvzb.com:9999/hls/world.m3u8</t>
  </si>
  <si>
    <t>TVBS新聞,http://iptv.4666888.xyz/iptv2A.php?id=43</t>
  </si>
  <si>
    <t xml:space="preserve">TVB无线新闻,http://cdn9.163189.xyz/smt1.1.php?id=inews_twn </t>
  </si>
  <si>
    <t xml:space="preserve">无线新闻,http://r.jdshipin.com/CkuBd </t>
  </si>
  <si>
    <t xml:space="preserve">TVB星河,http://r.jdshipin.com/sXuuD </t>
  </si>
  <si>
    <t xml:space="preserve">TVB星河,http://r.jdshipin.com/Voac4 </t>
  </si>
  <si>
    <t xml:space="preserve">明珠台,http://r.jdshipin.com/ZQ4kN </t>
  </si>
  <si>
    <t>TVB明珠,https://mytv.cdn.loc.cc/o12.php?id=mzt</t>
  </si>
  <si>
    <t>翡翠台,https://mytv.cdn.loc.cc/o12.php?id=fct</t>
  </si>
  <si>
    <t xml:space="preserve">翡翠台,http://r.jdshipin.com/GeWKr?id=fct406 </t>
  </si>
  <si>
    <t xml:space="preserve">翡翠台,http://120.198.95.220:9901/tsfile/live/1004_1.m3u8?key=txiptv </t>
  </si>
  <si>
    <t xml:space="preserve">翡翠台,http://222.128.55.152:9080/live/gdfc.m3u8 </t>
  </si>
  <si>
    <t xml:space="preserve">翡翠台,http://r.jdshipin.com/qrfbg </t>
  </si>
  <si>
    <t xml:space="preserve">翡翠台,http://r.jdshipin.com/GeWKr </t>
  </si>
  <si>
    <t xml:space="preserve">翡翠台4K,http://cdn6.163189.xyz/163189/fct4k </t>
  </si>
  <si>
    <t>华丽翡翠台,https://o11.163189.xyz/stream/live/hlt/</t>
  </si>
  <si>
    <t>TVB-獎門人,http://iptv.4666888.xyz/iptv2A.php?id=31</t>
  </si>
  <si>
    <t>TVBS精采,http://iptv.4666888.xyz/iptv2A.php?id=47</t>
  </si>
  <si>
    <t>TVB-金曲,http://iptv.4666888.xyz/iptv2A.php?id=57</t>
  </si>
  <si>
    <t>VIUTV,https://cdn.163189.xyz/163189/viu</t>
  </si>
  <si>
    <t>RTHK32,http://cdn.163189.xyz/163189/rthk32</t>
  </si>
  <si>
    <t>CH5,http://cdn6.163189.xyz/163189/ch5</t>
  </si>
  <si>
    <t xml:space="preserve">CH5,https://cdn6.163189.xyz/163189/ch5 </t>
  </si>
  <si>
    <t>CH8,http://cdn6.163189.xyz/163189/ch8</t>
  </si>
  <si>
    <t xml:space="preserve">CH8,https://cdn6.163189.xyz/163189/ch8 </t>
  </si>
  <si>
    <t xml:space="preserve">澳视卫星,https://cdn6.163189.xyz/163189/as </t>
  </si>
  <si>
    <t xml:space="preserve">澳视澳门,https://cdn6.163189.xyz/163189/asam </t>
  </si>
  <si>
    <t xml:space="preserve">澳视澳门,http://r.jdshipin.com/n2YZI </t>
  </si>
  <si>
    <t>澳视澳门,http://iptv.4666888.xyz/iptv2A.php?id=41</t>
  </si>
  <si>
    <t>澳门体育,http://cdn6.163189.xyz/163189/amty</t>
  </si>
  <si>
    <t xml:space="preserve">澳门体育,http://cdn6.163189.xyz/163189/amty </t>
  </si>
  <si>
    <t>澳门综艺,http://cdn6.163189.xyz/163189/amzy</t>
  </si>
  <si>
    <t>NOW新闻台,http://cdn.163189.xyz/163189/now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</si>
</sst>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0" fillId="0" borderId="0" xfId="0" applyAlignment="1">
      <alignment vertic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workbookViewId="0">
      <selection sqref="A1:XFD1048576"/>
    </sheetView>
  </sheetViews>
  <sheetFormatPr defaultColWidth="14.21875" defaultRowHeight="14.4"/>
  <cols>
    <col min="1" max="1" width="4.33203125" style="4" customWidth="1"/>
    <col min="2" max="2" width="9" style="4" customWidth="1"/>
    <col min="3" max="3" width="10.88671875" style="4" customWidth="1"/>
    <col min="4" max="4" width="14.6640625" style="4" customWidth="1"/>
    <col min="5" max="7" width="19.6640625" style="4" customWidth="1"/>
    <col min="8" max="8" width="13.33203125" style="4" customWidth="1"/>
    <col min="9" max="9" width="12.6640625" style="4" customWidth="1"/>
    <col min="10" max="10" width="8" style="4" customWidth="1"/>
    <col min="11" max="11" width="19.6640625" style="4" customWidth="1"/>
    <col min="12" max="12" width="12.21875" style="4" customWidth="1"/>
    <col min="13" max="17" width="19.6640625" style="4" customWidth="1"/>
    <col min="18" max="16384" width="14.21875" style="4"/>
  </cols>
  <sheetData>
    <row r="1" spans="1:17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/>
      <c r="H1" s="3"/>
      <c r="I1" s="3"/>
      <c r="J1" s="3"/>
      <c r="K1" s="3"/>
      <c r="L1" s="1"/>
      <c r="M1" s="1"/>
      <c r="N1" s="1" t="s">
        <v>5</v>
      </c>
      <c r="O1" s="1" t="s">
        <v>6</v>
      </c>
      <c r="P1" s="1"/>
      <c r="Q1" s="1"/>
    </row>
    <row r="2" spans="1:17">
      <c r="A2" s="1"/>
      <c r="B2" s="5" t="s">
        <v>7</v>
      </c>
      <c r="C2" s="6" t="s">
        <v>8</v>
      </c>
      <c r="D2" s="6" t="str">
        <f t="shared" ref="D2:D50" si="0">LEFT(C2,FIND(",",C2)-1)</f>
        <v>第一财经</v>
      </c>
      <c r="E2" s="6" t="str">
        <f t="shared" ref="E2:E44" si="1">RIGHT(C2,LEN(C2)-FIND(",",C2))</f>
        <v>http://t.061899.xyz/tl/tl.php?id=dycj</v>
      </c>
      <c r="F2" s="6" t="str">
        <f t="shared" ref="F2:F44" si="2">G2&amp;H2&amp;I2&amp;J2&amp;K2&amp;L2&amp;M2&amp;N2&amp;O2</f>
        <v>#EXTINF:-1 tvg-name="第一财经"  group-title="☘️ 上海频道,#genre#" tvg-shift="0" catchup="default" catchup-days="7" catchup-source="http://t.061899.xyz/tl/tl.php?id=dycj?startTime=${(b)10}&amp;endTime=${(e)10}" resolution="1920x1080" ,第一财经http://t.061899.xyz/tl/tl.php?id=dycj</v>
      </c>
      <c r="G2" s="6" t="s">
        <v>9</v>
      </c>
      <c r="H2" s="6" t="str">
        <f t="shared" ref="H2:H64" si="3">D2</f>
        <v>第一财经</v>
      </c>
      <c r="I2" s="6" t="s">
        <v>10</v>
      </c>
      <c r="J2" s="6" t="str">
        <f t="shared" ref="J2:J50" si="4">B2</f>
        <v>☘️ 上海频道,#genre#</v>
      </c>
      <c r="K2" s="4" t="s">
        <v>11</v>
      </c>
      <c r="L2" s="7" t="str">
        <f t="shared" ref="L2:L50" si="5">E2</f>
        <v>http://t.061899.xyz/tl/tl.php?id=dycj</v>
      </c>
      <c r="M2" s="4" t="s">
        <v>12</v>
      </c>
      <c r="N2" s="1" t="str">
        <f t="shared" ref="N2:O33" si="6">D2</f>
        <v>第一财经</v>
      </c>
      <c r="O2" s="1" t="str">
        <f>E2</f>
        <v>http://t.061899.xyz/tl/tl.php?id=dycj</v>
      </c>
      <c r="P2" s="1"/>
      <c r="Q2" s="1"/>
    </row>
    <row r="3" spans="1:17">
      <c r="A3" s="1"/>
      <c r="B3" s="5" t="s">
        <v>13</v>
      </c>
      <c r="C3" s="6" t="s">
        <v>14</v>
      </c>
      <c r="D3" s="6" t="str">
        <f t="shared" si="0"/>
        <v>凤凰资讯</v>
      </c>
      <c r="E3" s="6" t="str">
        <f t="shared" si="1"/>
        <v xml:space="preserve">http://t.061899.xyz/tl/js/js.php?id=fhwszxt </v>
      </c>
      <c r="F3" s="6" t="str">
        <f t="shared" si="2"/>
        <v xml:space="preserve">#EXTINF:-1 tvg-name="凤凰资讯"  group-title="🌊港澳频道" tvg-shift="0" catchup="default" catchup-days="7" catchup-source="http://t.061899.xyz/tl/js/js.php?id=fhwszxt ?startTime=${(b)10}&amp;endTime=${(e)10}" resolution="1920x1080" ,凤凰资讯http://t.061899.xyz/tl/js/js.php?id=fhwszxt </v>
      </c>
      <c r="G3" s="6" t="s">
        <v>9</v>
      </c>
      <c r="H3" s="6" t="str">
        <f t="shared" si="3"/>
        <v>凤凰资讯</v>
      </c>
      <c r="I3" s="6" t="s">
        <v>10</v>
      </c>
      <c r="J3" s="6" t="str">
        <f t="shared" si="4"/>
        <v>🌊港澳频道</v>
      </c>
      <c r="K3" s="8" t="s">
        <v>11</v>
      </c>
      <c r="L3" s="7" t="str">
        <f t="shared" si="5"/>
        <v xml:space="preserve">http://t.061899.xyz/tl/js/js.php?id=fhwszxt </v>
      </c>
      <c r="M3" s="4" t="s">
        <v>12</v>
      </c>
      <c r="N3" s="1" t="str">
        <f t="shared" si="6"/>
        <v>凤凰资讯</v>
      </c>
      <c r="O3" s="1" t="str">
        <f t="shared" si="6"/>
        <v xml:space="preserve">http://t.061899.xyz/tl/js/js.php?id=fhwszxt </v>
      </c>
    </row>
    <row r="4" spans="1:17">
      <c r="A4" s="1"/>
      <c r="B4" s="5" t="s">
        <v>13</v>
      </c>
      <c r="C4" s="6" t="s">
        <v>15</v>
      </c>
      <c r="D4" s="6" t="str">
        <f t="shared" si="0"/>
        <v>凤凰中文</v>
      </c>
      <c r="E4" s="6" t="str">
        <f t="shared" si="1"/>
        <v xml:space="preserve">http://t.061899.xyz/tl/js/js.php?id=fhwszwt </v>
      </c>
      <c r="F4" s="6" t="str">
        <f t="shared" si="2"/>
        <v xml:space="preserve">#EXTINF:-1 tvg-name="凤凰中文"  group-title="🌊港澳频道" tvg-shift="0" catchup="default" catchup-days="7" catchup-source="http://t.061899.xyz/tl/js/js.php?id=fhwszwt ?startTime=${(b)10}&amp;endTime=${(e)10}" resolution="1920x1080" ,凤凰中文http://t.061899.xyz/tl/js/js.php?id=fhwszwt </v>
      </c>
      <c r="G4" s="6" t="s">
        <v>9</v>
      </c>
      <c r="H4" s="6" t="str">
        <f t="shared" si="3"/>
        <v>凤凰中文</v>
      </c>
      <c r="I4" s="6" t="s">
        <v>10</v>
      </c>
      <c r="J4" s="6" t="str">
        <f t="shared" si="4"/>
        <v>🌊港澳频道</v>
      </c>
      <c r="K4" s="8" t="s">
        <v>11</v>
      </c>
      <c r="L4" s="7" t="str">
        <f t="shared" si="5"/>
        <v xml:space="preserve">http://t.061899.xyz/tl/js/js.php?id=fhwszwt </v>
      </c>
      <c r="M4" s="9" t="s">
        <v>12</v>
      </c>
      <c r="N4" s="1" t="str">
        <f t="shared" si="6"/>
        <v>凤凰中文</v>
      </c>
      <c r="O4" s="1" t="str">
        <f t="shared" si="6"/>
        <v xml:space="preserve">http://t.061899.xyz/tl/js/js.php?id=fhwszwt </v>
      </c>
      <c r="P4" s="1"/>
    </row>
    <row r="5" spans="1:17">
      <c r="B5" s="5" t="s">
        <v>15</v>
      </c>
      <c r="C5" s="4" t="s">
        <v>16</v>
      </c>
      <c r="D5" s="6" t="str">
        <f t="shared" si="0"/>
        <v>凤凰中文</v>
      </c>
      <c r="E5" s="6" t="str">
        <f t="shared" si="1"/>
        <v>http://61.184.46.85:85/tsfile/live/1029_1.m3u8?key=txiptv&amp;playlive=1&amp;authid=0</v>
      </c>
      <c r="F5" s="6" t="str">
        <f t="shared" si="2"/>
        <v>#EXTINF:-1 tvg-name="凤凰中文"  group-title="凤凰中文,http://t.061899.xyz/tl/js/js.php?id=fhwszwt " tvg-shift="0" catchup="default" catchup-days="7" catchup-source="http://61.184.46.85:85/tsfile/live/1029_1.m3u8?key=txiptv&amp;playlive=1&amp;authid=0?startTime=${(b)10}&amp;endTime=${(e)10}" resolution="1920x1080" ,凤凰中文http://61.184.46.85:85/tsfile/live/1029_1.m3u8?key=txiptv&amp;playlive=1&amp;authid=0</v>
      </c>
      <c r="G5" s="6" t="s">
        <v>9</v>
      </c>
      <c r="H5" s="6" t="str">
        <f t="shared" si="3"/>
        <v>凤凰中文</v>
      </c>
      <c r="I5" s="6" t="s">
        <v>10</v>
      </c>
      <c r="J5" s="6" t="str">
        <f t="shared" si="4"/>
        <v xml:space="preserve">凤凰中文,http://t.061899.xyz/tl/js/js.php?id=fhwszwt </v>
      </c>
      <c r="K5" s="4" t="s">
        <v>11</v>
      </c>
      <c r="L5" s="7" t="str">
        <f t="shared" si="5"/>
        <v>http://61.184.46.85:85/tsfile/live/1029_1.m3u8?key=txiptv&amp;playlive=1&amp;authid=0</v>
      </c>
      <c r="M5" s="4" t="s">
        <v>12</v>
      </c>
      <c r="N5" s="1" t="str">
        <f t="shared" si="6"/>
        <v>凤凰中文</v>
      </c>
      <c r="O5" s="1" t="str">
        <f t="shared" si="6"/>
        <v>http://61.184.46.85:85/tsfile/live/1029_1.m3u8?key=txiptv&amp;playlive=1&amp;authid=0</v>
      </c>
    </row>
    <row r="6" spans="1:17">
      <c r="B6" s="5" t="s">
        <v>17</v>
      </c>
      <c r="C6" s="4" t="s">
        <v>18</v>
      </c>
      <c r="D6" s="6" t="str">
        <f t="shared" si="0"/>
        <v>凤凰中文</v>
      </c>
      <c r="E6" s="6" t="str">
        <f t="shared" si="1"/>
        <v xml:space="preserve">http://r.jdshipin.com/cCCzW </v>
      </c>
      <c r="F6" s="6" t="str">
        <f t="shared" si="2"/>
        <v xml:space="preserve">#EXTINF:-1 tvg-name="凤凰中文"  group-title="港澳" tvg-shift="0" catchup="default" catchup-days="7" catchup-source="http://r.jdshipin.com/cCCzW ?startTime=${(b)10}&amp;endTime=${(e)10}" resolution="1920x1080" ,凤凰中文http://r.jdshipin.com/cCCzW </v>
      </c>
      <c r="G6" s="6" t="s">
        <v>9</v>
      </c>
      <c r="H6" s="6" t="str">
        <f t="shared" si="3"/>
        <v>凤凰中文</v>
      </c>
      <c r="I6" s="6" t="s">
        <v>10</v>
      </c>
      <c r="J6" s="6" t="str">
        <f t="shared" si="4"/>
        <v>港澳</v>
      </c>
      <c r="K6" s="4" t="s">
        <v>11</v>
      </c>
      <c r="L6" s="7" t="str">
        <f t="shared" si="5"/>
        <v xml:space="preserve">http://r.jdshipin.com/cCCzW </v>
      </c>
      <c r="M6" s="4" t="s">
        <v>12</v>
      </c>
      <c r="N6" s="1" t="str">
        <f t="shared" si="6"/>
        <v>凤凰中文</v>
      </c>
      <c r="O6" s="1" t="str">
        <f t="shared" si="6"/>
        <v xml:space="preserve">http://r.jdshipin.com/cCCzW </v>
      </c>
    </row>
    <row r="7" spans="1:17">
      <c r="B7" s="5" t="s">
        <v>17</v>
      </c>
      <c r="C7" s="4" t="s">
        <v>19</v>
      </c>
      <c r="D7" s="6" t="str">
        <f t="shared" si="0"/>
        <v>凤凰中文</v>
      </c>
      <c r="E7" s="6" t="str">
        <f t="shared" si="1"/>
        <v xml:space="preserve">http://cdn6.163189.xyz/163189/fhzw </v>
      </c>
      <c r="F7" s="6" t="str">
        <f t="shared" si="2"/>
        <v xml:space="preserve">#EXTINF:-1 tvg-name="凤凰中文"  group-title="港澳" tvg-shift="0" catchup="default" catchup-days="7" catchup-source="http://cdn6.163189.xyz/163189/fhzw ?startTime=${(b)10}&amp;endTime=${(e)10}" resolution="1920x1080" ,凤凰中文http://cdn6.163189.xyz/163189/fhzw </v>
      </c>
      <c r="G7" s="6" t="s">
        <v>9</v>
      </c>
      <c r="H7" s="6" t="str">
        <f t="shared" si="3"/>
        <v>凤凰中文</v>
      </c>
      <c r="I7" s="6" t="s">
        <v>10</v>
      </c>
      <c r="J7" s="6" t="str">
        <f t="shared" si="4"/>
        <v>港澳</v>
      </c>
      <c r="K7" s="4" t="s">
        <v>11</v>
      </c>
      <c r="L7" s="7" t="str">
        <f t="shared" si="5"/>
        <v xml:space="preserve">http://cdn6.163189.xyz/163189/fhzw </v>
      </c>
      <c r="M7" s="4" t="s">
        <v>12</v>
      </c>
      <c r="N7" s="1" t="str">
        <f t="shared" si="6"/>
        <v>凤凰中文</v>
      </c>
      <c r="O7" s="1" t="str">
        <f t="shared" si="6"/>
        <v xml:space="preserve">http://cdn6.163189.xyz/163189/fhzw </v>
      </c>
    </row>
    <row r="8" spans="1:17">
      <c r="B8" s="5" t="s">
        <v>17</v>
      </c>
      <c r="C8" s="4" t="s">
        <v>20</v>
      </c>
      <c r="D8" s="6" t="str">
        <f t="shared" si="0"/>
        <v>凤凰香港</v>
      </c>
      <c r="E8" s="6" t="str">
        <f t="shared" si="1"/>
        <v xml:space="preserve">http://r.jdshipin.com/yDoTN </v>
      </c>
      <c r="F8" s="6" t="str">
        <f t="shared" si="2"/>
        <v xml:space="preserve">#EXTINF:-1 tvg-name="凤凰香港"  group-title="港澳" tvg-shift="0" catchup="default" catchup-days="7" catchup-source="http://r.jdshipin.com/yDoTN ?startTime=${(b)10}&amp;endTime=${(e)10}" resolution="1920x1080" ,凤凰香港http://r.jdshipin.com/yDoTN </v>
      </c>
      <c r="G8" s="6" t="s">
        <v>9</v>
      </c>
      <c r="H8" s="6" t="str">
        <f t="shared" si="3"/>
        <v>凤凰香港</v>
      </c>
      <c r="I8" s="6" t="s">
        <v>10</v>
      </c>
      <c r="J8" s="6" t="str">
        <f t="shared" si="4"/>
        <v>港澳</v>
      </c>
      <c r="K8" s="4" t="s">
        <v>11</v>
      </c>
      <c r="L8" s="7" t="str">
        <f t="shared" si="5"/>
        <v xml:space="preserve">http://r.jdshipin.com/yDoTN </v>
      </c>
      <c r="M8" s="4" t="s">
        <v>12</v>
      </c>
      <c r="N8" s="1" t="str">
        <f t="shared" si="6"/>
        <v>凤凰香港</v>
      </c>
      <c r="O8" s="1" t="str">
        <f t="shared" si="6"/>
        <v xml:space="preserve">http://r.jdshipin.com/yDoTN </v>
      </c>
    </row>
    <row r="9" spans="1:17">
      <c r="B9" s="5" t="s">
        <v>17</v>
      </c>
      <c r="C9" s="4" t="s">
        <v>21</v>
      </c>
      <c r="D9" s="6" t="str">
        <f t="shared" si="0"/>
        <v>凤凰香港</v>
      </c>
      <c r="E9" s="6" t="str">
        <f t="shared" si="1"/>
        <v xml:space="preserve">http://cdn6.163189.xyz/163189/fhhk </v>
      </c>
      <c r="F9" s="6" t="str">
        <f t="shared" si="2"/>
        <v xml:space="preserve">#EXTINF:-1 tvg-name="凤凰香港"  group-title="港澳" tvg-shift="0" catchup="default" catchup-days="7" catchup-source="http://cdn6.163189.xyz/163189/fhhk ?startTime=${(b)10}&amp;endTime=${(e)10}" resolution="1920x1080" ,凤凰香港http://cdn6.163189.xyz/163189/fhhk </v>
      </c>
      <c r="G9" s="6" t="s">
        <v>9</v>
      </c>
      <c r="H9" s="6" t="str">
        <f t="shared" si="3"/>
        <v>凤凰香港</v>
      </c>
      <c r="I9" s="6" t="s">
        <v>10</v>
      </c>
      <c r="J9" s="6" t="str">
        <f t="shared" si="4"/>
        <v>港澳</v>
      </c>
      <c r="K9" s="4" t="s">
        <v>11</v>
      </c>
      <c r="L9" s="7" t="str">
        <f t="shared" si="5"/>
        <v xml:space="preserve">http://cdn6.163189.xyz/163189/fhhk </v>
      </c>
      <c r="M9" s="4" t="s">
        <v>12</v>
      </c>
      <c r="N9" s="1" t="str">
        <f t="shared" si="6"/>
        <v>凤凰香港</v>
      </c>
      <c r="O9" s="1" t="str">
        <f t="shared" si="6"/>
        <v xml:space="preserve">http://cdn6.163189.xyz/163189/fhhk </v>
      </c>
    </row>
    <row r="10" spans="1:17">
      <c r="B10" s="5" t="s">
        <v>17</v>
      </c>
      <c r="C10" s="4" t="s">
        <v>22</v>
      </c>
      <c r="D10" s="6" t="str">
        <f t="shared" si="0"/>
        <v>亚洲卫视</v>
      </c>
      <c r="E10" s="6" t="str">
        <f t="shared" si="1"/>
        <v>https://p2hs.vzan.com/slowlive/821481626725612420/live.m3u8</v>
      </c>
      <c r="F10" s="6" t="str">
        <f t="shared" si="2"/>
        <v>#EXTINF:-1 tvg-name="亚洲卫视"  group-title="港澳" tvg-shift="0" catchup="default" catchup-days="7" catchup-source="https://p2hs.vzan.com/slowlive/821481626725612420/live.m3u8?startTime=${(b)10}&amp;endTime=${(e)10}" resolution="1920x1080" ,亚洲卫视https://p2hs.vzan.com/slowlive/821481626725612420/live.m3u8</v>
      </c>
      <c r="G10" s="6" t="s">
        <v>9</v>
      </c>
      <c r="H10" s="6" t="str">
        <f t="shared" si="3"/>
        <v>亚洲卫视</v>
      </c>
      <c r="I10" s="6" t="s">
        <v>10</v>
      </c>
      <c r="J10" s="6" t="str">
        <f t="shared" si="4"/>
        <v>港澳</v>
      </c>
      <c r="K10" s="4" t="s">
        <v>11</v>
      </c>
      <c r="L10" s="7" t="str">
        <f t="shared" si="5"/>
        <v>https://p2hs.vzan.com/slowlive/821481626725612420/live.m3u8</v>
      </c>
      <c r="M10" s="4" t="s">
        <v>12</v>
      </c>
      <c r="N10" s="1" t="str">
        <f t="shared" si="6"/>
        <v>亚洲卫视</v>
      </c>
      <c r="O10" s="1" t="str">
        <f t="shared" si="6"/>
        <v>https://p2hs.vzan.com/slowlive/821481626725612420/live.m3u8</v>
      </c>
    </row>
    <row r="11" spans="1:17">
      <c r="B11" s="5" t="s">
        <v>17</v>
      </c>
      <c r="C11" s="4" t="s">
        <v>23</v>
      </c>
      <c r="D11" s="6" t="str">
        <f t="shared" si="0"/>
        <v>环球电视台</v>
      </c>
      <c r="E11" s="6" t="str">
        <f t="shared" si="1"/>
        <v>http://utv1.hqtvzb.com:9999/hls/world.m3u8</v>
      </c>
      <c r="F11" s="6" t="str">
        <f t="shared" si="2"/>
        <v>#EXTINF:-1 tvg-name="环球电视台"  group-title="港澳" tvg-shift="0" catchup="default" catchup-days="7" catchup-source="http://utv1.hqtvzb.com:9999/hls/world.m3u8?startTime=${(b)10}&amp;endTime=${(e)10}" resolution="1920x1080" ,环球电视台http://utv1.hqtvzb.com:9999/hls/world.m3u8</v>
      </c>
      <c r="G11" s="6" t="s">
        <v>9</v>
      </c>
      <c r="H11" s="6" t="str">
        <f t="shared" si="3"/>
        <v>环球电视台</v>
      </c>
      <c r="I11" s="6" t="s">
        <v>10</v>
      </c>
      <c r="J11" s="6" t="str">
        <f t="shared" si="4"/>
        <v>港澳</v>
      </c>
      <c r="K11" s="4" t="s">
        <v>11</v>
      </c>
      <c r="L11" s="7" t="str">
        <f t="shared" si="5"/>
        <v>http://utv1.hqtvzb.com:9999/hls/world.m3u8</v>
      </c>
      <c r="M11" s="4" t="s">
        <v>12</v>
      </c>
      <c r="N11" s="1" t="str">
        <f t="shared" si="6"/>
        <v>环球电视台</v>
      </c>
      <c r="O11" s="1" t="str">
        <f t="shared" si="6"/>
        <v>http://utv1.hqtvzb.com:9999/hls/world.m3u8</v>
      </c>
    </row>
    <row r="12" spans="1:17">
      <c r="B12" s="5" t="s">
        <v>17</v>
      </c>
      <c r="C12" s="4" t="s">
        <v>24</v>
      </c>
      <c r="D12" s="6" t="str">
        <f t="shared" si="0"/>
        <v>TVBS新聞</v>
      </c>
      <c r="E12" s="6" t="str">
        <f t="shared" si="1"/>
        <v>http://iptv.4666888.xyz/iptv2A.php?id=43</v>
      </c>
      <c r="F12" s="6" t="str">
        <f t="shared" si="2"/>
        <v>#EXTINF:-1 tvg-name="TVBS新聞"  group-title="港澳" tvg-shift="0" catchup="default" catchup-days="7" catchup-source="http://iptv.4666888.xyz/iptv2A.php?id=43?startTime=${(b)10}&amp;endTime=${(e)10}" resolution="1920x1080" ,TVBS新聞http://iptv.4666888.xyz/iptv2A.php?id=43</v>
      </c>
      <c r="G12" s="6" t="s">
        <v>9</v>
      </c>
      <c r="H12" s="6" t="str">
        <f t="shared" si="3"/>
        <v>TVBS新聞</v>
      </c>
      <c r="I12" s="6" t="s">
        <v>10</v>
      </c>
      <c r="J12" s="6" t="str">
        <f t="shared" si="4"/>
        <v>港澳</v>
      </c>
      <c r="K12" s="4" t="s">
        <v>11</v>
      </c>
      <c r="L12" s="7" t="str">
        <f t="shared" si="5"/>
        <v>http://iptv.4666888.xyz/iptv2A.php?id=43</v>
      </c>
      <c r="M12" s="4" t="s">
        <v>12</v>
      </c>
      <c r="N12" s="1" t="str">
        <f t="shared" si="6"/>
        <v>TVBS新聞</v>
      </c>
      <c r="O12" s="1" t="str">
        <f t="shared" si="6"/>
        <v>http://iptv.4666888.xyz/iptv2A.php?id=43</v>
      </c>
    </row>
    <row r="13" spans="1:17">
      <c r="B13" s="5" t="s">
        <v>17</v>
      </c>
      <c r="C13" s="4" t="s">
        <v>25</v>
      </c>
      <c r="D13" s="6" t="str">
        <f t="shared" si="0"/>
        <v>TVB无线新闻</v>
      </c>
      <c r="E13" s="6" t="str">
        <f t="shared" si="1"/>
        <v xml:space="preserve">http://cdn9.163189.xyz/smt1.1.php?id=inews_twn </v>
      </c>
      <c r="F13" s="6" t="str">
        <f t="shared" si="2"/>
        <v xml:space="preserve">#EXTINF:-1 tvg-name="TVB无线新闻"  group-title="港澳" tvg-shift="0" catchup="default" catchup-days="7" catchup-source="http://cdn9.163189.xyz/smt1.1.php?id=inews_twn ?startTime=${(b)10}&amp;endTime=${(e)10}" resolution="1920x1080" ,TVB无线新闻http://cdn9.163189.xyz/smt1.1.php?id=inews_twn </v>
      </c>
      <c r="G13" s="6" t="s">
        <v>9</v>
      </c>
      <c r="H13" s="6" t="str">
        <f t="shared" si="3"/>
        <v>TVB无线新闻</v>
      </c>
      <c r="I13" s="6" t="s">
        <v>10</v>
      </c>
      <c r="J13" s="6" t="str">
        <f t="shared" si="4"/>
        <v>港澳</v>
      </c>
      <c r="K13" s="4" t="s">
        <v>11</v>
      </c>
      <c r="L13" s="7" t="str">
        <f t="shared" si="5"/>
        <v xml:space="preserve">http://cdn9.163189.xyz/smt1.1.php?id=inews_twn </v>
      </c>
      <c r="M13" s="4" t="s">
        <v>12</v>
      </c>
      <c r="N13" s="1" t="str">
        <f t="shared" si="6"/>
        <v>TVB无线新闻</v>
      </c>
      <c r="O13" s="1" t="str">
        <f t="shared" si="6"/>
        <v xml:space="preserve">http://cdn9.163189.xyz/smt1.1.php?id=inews_twn </v>
      </c>
    </row>
    <row r="14" spans="1:17">
      <c r="B14" s="5" t="s">
        <v>17</v>
      </c>
      <c r="C14" s="4" t="s">
        <v>26</v>
      </c>
      <c r="D14" s="6" t="str">
        <f t="shared" si="0"/>
        <v>无线新闻</v>
      </c>
      <c r="E14" s="6" t="str">
        <f t="shared" si="1"/>
        <v xml:space="preserve">http://r.jdshipin.com/CkuBd </v>
      </c>
      <c r="F14" s="6" t="str">
        <f t="shared" si="2"/>
        <v xml:space="preserve">#EXTINF:-1 tvg-name="无线新闻"  group-title="港澳" tvg-shift="0" catchup="default" catchup-days="7" catchup-source="http://r.jdshipin.com/CkuBd ?startTime=${(b)10}&amp;endTime=${(e)10}" resolution="1920x1080" ,无线新闻http://r.jdshipin.com/CkuBd </v>
      </c>
      <c r="G14" s="6" t="s">
        <v>9</v>
      </c>
      <c r="H14" s="6" t="str">
        <f t="shared" si="3"/>
        <v>无线新闻</v>
      </c>
      <c r="I14" s="6" t="s">
        <v>10</v>
      </c>
      <c r="J14" s="6" t="str">
        <f t="shared" si="4"/>
        <v>港澳</v>
      </c>
      <c r="K14" s="4" t="s">
        <v>11</v>
      </c>
      <c r="L14" s="7" t="str">
        <f t="shared" si="5"/>
        <v xml:space="preserve">http://r.jdshipin.com/CkuBd </v>
      </c>
      <c r="M14" s="4" t="s">
        <v>12</v>
      </c>
      <c r="N14" s="1" t="str">
        <f t="shared" si="6"/>
        <v>无线新闻</v>
      </c>
      <c r="O14" s="1" t="str">
        <f t="shared" si="6"/>
        <v xml:space="preserve">http://r.jdshipin.com/CkuBd </v>
      </c>
    </row>
    <row r="15" spans="1:17">
      <c r="B15" s="5" t="s">
        <v>17</v>
      </c>
      <c r="C15" s="4" t="s">
        <v>27</v>
      </c>
      <c r="D15" s="6" t="str">
        <f t="shared" si="0"/>
        <v>TVB星河</v>
      </c>
      <c r="E15" s="6" t="str">
        <f t="shared" si="1"/>
        <v xml:space="preserve">http://r.jdshipin.com/sXuuD </v>
      </c>
      <c r="F15" s="6" t="str">
        <f t="shared" si="2"/>
        <v xml:space="preserve">#EXTINF:-1 tvg-name="TVB星河"  group-title="港澳" tvg-shift="0" catchup="default" catchup-days="7" catchup-source="http://r.jdshipin.com/sXuuD ?startTime=${(b)10}&amp;endTime=${(e)10}" resolution="1920x1080" ,TVB星河http://r.jdshipin.com/sXuuD </v>
      </c>
      <c r="G15" s="6" t="s">
        <v>9</v>
      </c>
      <c r="H15" s="6" t="str">
        <f t="shared" si="3"/>
        <v>TVB星河</v>
      </c>
      <c r="I15" s="6" t="s">
        <v>10</v>
      </c>
      <c r="J15" s="6" t="str">
        <f t="shared" si="4"/>
        <v>港澳</v>
      </c>
      <c r="K15" s="4" t="s">
        <v>11</v>
      </c>
      <c r="L15" s="7" t="str">
        <f t="shared" si="5"/>
        <v xml:space="preserve">http://r.jdshipin.com/sXuuD </v>
      </c>
      <c r="M15" s="4" t="s">
        <v>12</v>
      </c>
      <c r="N15" s="1" t="str">
        <f t="shared" si="6"/>
        <v>TVB星河</v>
      </c>
      <c r="O15" s="1" t="str">
        <f t="shared" si="6"/>
        <v xml:space="preserve">http://r.jdshipin.com/sXuuD </v>
      </c>
    </row>
    <row r="16" spans="1:17">
      <c r="B16" s="5" t="s">
        <v>17</v>
      </c>
      <c r="C16" s="4" t="s">
        <v>28</v>
      </c>
      <c r="D16" s="6" t="str">
        <f t="shared" si="0"/>
        <v>TVB星河</v>
      </c>
      <c r="E16" s="6" t="str">
        <f t="shared" si="1"/>
        <v xml:space="preserve">http://r.jdshipin.com/Voac4 </v>
      </c>
      <c r="F16" s="6" t="str">
        <f t="shared" si="2"/>
        <v xml:space="preserve">#EXTINF:-1 tvg-name="TVB星河"  group-title="港澳" tvg-shift="0" catchup="default" catchup-days="7" catchup-source="http://r.jdshipin.com/Voac4 ?startTime=${(b)10}&amp;endTime=${(e)10}" resolution="1920x1080" ,TVB星河http://r.jdshipin.com/Voac4 </v>
      </c>
      <c r="G16" s="6" t="s">
        <v>9</v>
      </c>
      <c r="H16" s="6" t="str">
        <f t="shared" si="3"/>
        <v>TVB星河</v>
      </c>
      <c r="I16" s="6" t="s">
        <v>10</v>
      </c>
      <c r="J16" s="6" t="str">
        <f t="shared" si="4"/>
        <v>港澳</v>
      </c>
      <c r="K16" s="4" t="s">
        <v>11</v>
      </c>
      <c r="L16" s="7" t="str">
        <f t="shared" si="5"/>
        <v xml:space="preserve">http://r.jdshipin.com/Voac4 </v>
      </c>
      <c r="M16" s="4" t="s">
        <v>12</v>
      </c>
      <c r="N16" s="1" t="str">
        <f t="shared" si="6"/>
        <v>TVB星河</v>
      </c>
      <c r="O16" s="1" t="str">
        <f t="shared" si="6"/>
        <v xml:space="preserve">http://r.jdshipin.com/Voac4 </v>
      </c>
    </row>
    <row r="17" spans="2:15">
      <c r="B17" s="5" t="s">
        <v>17</v>
      </c>
      <c r="C17" s="4" t="s">
        <v>29</v>
      </c>
      <c r="D17" s="6" t="str">
        <f t="shared" si="0"/>
        <v>明珠台</v>
      </c>
      <c r="E17" s="6" t="str">
        <f t="shared" si="1"/>
        <v xml:space="preserve">http://r.jdshipin.com/ZQ4kN </v>
      </c>
      <c r="F17" s="6" t="str">
        <f t="shared" si="2"/>
        <v xml:space="preserve">#EXTINF:-1 tvg-name="明珠台"  group-title="港澳" tvg-shift="0" catchup="default" catchup-days="7" catchup-source="http://r.jdshipin.com/ZQ4kN ?startTime=${(b)10}&amp;endTime=${(e)10}" resolution="1920x1080" ,明珠台http://r.jdshipin.com/ZQ4kN </v>
      </c>
      <c r="G17" s="6" t="s">
        <v>9</v>
      </c>
      <c r="H17" s="6" t="str">
        <f t="shared" si="3"/>
        <v>明珠台</v>
      </c>
      <c r="I17" s="6" t="s">
        <v>10</v>
      </c>
      <c r="J17" s="6" t="str">
        <f t="shared" si="4"/>
        <v>港澳</v>
      </c>
      <c r="K17" s="4" t="s">
        <v>11</v>
      </c>
      <c r="L17" s="7" t="str">
        <f t="shared" si="5"/>
        <v xml:space="preserve">http://r.jdshipin.com/ZQ4kN </v>
      </c>
      <c r="M17" s="4" t="s">
        <v>12</v>
      </c>
      <c r="N17" s="1" t="str">
        <f t="shared" si="6"/>
        <v>明珠台</v>
      </c>
      <c r="O17" s="1" t="str">
        <f t="shared" si="6"/>
        <v xml:space="preserve">http://r.jdshipin.com/ZQ4kN </v>
      </c>
    </row>
    <row r="18" spans="2:15">
      <c r="B18" s="5" t="s">
        <v>17</v>
      </c>
      <c r="C18" s="4" t="s">
        <v>30</v>
      </c>
      <c r="D18" s="6" t="str">
        <f t="shared" si="0"/>
        <v>TVB明珠</v>
      </c>
      <c r="E18" s="6" t="str">
        <f t="shared" si="1"/>
        <v>https://mytv.cdn.loc.cc/o12.php?id=mzt</v>
      </c>
      <c r="F18" s="6" t="str">
        <f t="shared" si="2"/>
        <v>#EXTINF:-1 tvg-name="TVB明珠"  group-title="港澳" tvg-shift="0" catchup="default" catchup-days="7" catchup-source="https://mytv.cdn.loc.cc/o12.php?id=mzt?startTime=${(b)10}&amp;endTime=${(e)10}" resolution="1920x1080" ,TVB明珠https://mytv.cdn.loc.cc/o12.php?id=mzt</v>
      </c>
      <c r="G18" s="6" t="s">
        <v>9</v>
      </c>
      <c r="H18" s="6" t="str">
        <f t="shared" si="3"/>
        <v>TVB明珠</v>
      </c>
      <c r="I18" s="6" t="s">
        <v>10</v>
      </c>
      <c r="J18" s="6" t="str">
        <f t="shared" si="4"/>
        <v>港澳</v>
      </c>
      <c r="K18" s="4" t="s">
        <v>11</v>
      </c>
      <c r="L18" s="7" t="str">
        <f t="shared" si="5"/>
        <v>https://mytv.cdn.loc.cc/o12.php?id=mzt</v>
      </c>
      <c r="M18" s="4" t="s">
        <v>12</v>
      </c>
      <c r="N18" s="1" t="str">
        <f t="shared" si="6"/>
        <v>TVB明珠</v>
      </c>
      <c r="O18" s="1" t="str">
        <f t="shared" si="6"/>
        <v>https://mytv.cdn.loc.cc/o12.php?id=mzt</v>
      </c>
    </row>
    <row r="19" spans="2:15">
      <c r="B19" s="5" t="s">
        <v>17</v>
      </c>
      <c r="C19" s="4" t="s">
        <v>31</v>
      </c>
      <c r="D19" s="6" t="str">
        <f t="shared" si="0"/>
        <v>翡翠台</v>
      </c>
      <c r="E19" s="6" t="str">
        <f t="shared" si="1"/>
        <v>https://mytv.cdn.loc.cc/o12.php?id=fct</v>
      </c>
      <c r="F19" s="6" t="str">
        <f t="shared" si="2"/>
        <v>#EXTINF:-1 tvg-name="翡翠台"  group-title="港澳" tvg-shift="0" catchup="default" catchup-days="7" catchup-source="https://mytv.cdn.loc.cc/o12.php?id=fct?startTime=${(b)10}&amp;endTime=${(e)10}" resolution="1920x1080" ,翡翠台https://mytv.cdn.loc.cc/o12.php?id=fct</v>
      </c>
      <c r="G19" s="6" t="s">
        <v>9</v>
      </c>
      <c r="H19" s="6" t="str">
        <f t="shared" si="3"/>
        <v>翡翠台</v>
      </c>
      <c r="I19" s="6" t="s">
        <v>10</v>
      </c>
      <c r="J19" s="6" t="str">
        <f t="shared" si="4"/>
        <v>港澳</v>
      </c>
      <c r="K19" s="4" t="s">
        <v>11</v>
      </c>
      <c r="L19" s="7" t="str">
        <f t="shared" si="5"/>
        <v>https://mytv.cdn.loc.cc/o12.php?id=fct</v>
      </c>
      <c r="M19" s="4" t="s">
        <v>12</v>
      </c>
      <c r="N19" s="1" t="str">
        <f t="shared" si="6"/>
        <v>翡翠台</v>
      </c>
      <c r="O19" s="1" t="str">
        <f t="shared" si="6"/>
        <v>https://mytv.cdn.loc.cc/o12.php?id=fct</v>
      </c>
    </row>
    <row r="20" spans="2:15">
      <c r="B20" s="5" t="s">
        <v>17</v>
      </c>
      <c r="C20" s="4" t="s">
        <v>32</v>
      </c>
      <c r="D20" s="6" t="str">
        <f t="shared" si="0"/>
        <v>翡翠台</v>
      </c>
      <c r="E20" s="6" t="str">
        <f t="shared" si="1"/>
        <v xml:space="preserve">http://r.jdshipin.com/GeWKr?id=fct406 </v>
      </c>
      <c r="F20" s="6" t="str">
        <f t="shared" si="2"/>
        <v xml:space="preserve">#EXTINF:-1 tvg-name="翡翠台"  group-title="港澳" tvg-shift="0" catchup="default" catchup-days="7" catchup-source="http://r.jdshipin.com/GeWKr?id=fct406 ?startTime=${(b)10}&amp;endTime=${(e)10}" resolution="1920x1080" ,翡翠台http://r.jdshipin.com/GeWKr?id=fct406 </v>
      </c>
      <c r="G20" s="6" t="s">
        <v>9</v>
      </c>
      <c r="H20" s="6" t="str">
        <f t="shared" si="3"/>
        <v>翡翠台</v>
      </c>
      <c r="I20" s="6" t="s">
        <v>10</v>
      </c>
      <c r="J20" s="6" t="str">
        <f t="shared" si="4"/>
        <v>港澳</v>
      </c>
      <c r="K20" s="4" t="s">
        <v>11</v>
      </c>
      <c r="L20" s="7" t="str">
        <f t="shared" si="5"/>
        <v xml:space="preserve">http://r.jdshipin.com/GeWKr?id=fct406 </v>
      </c>
      <c r="M20" s="4" t="s">
        <v>12</v>
      </c>
      <c r="N20" s="1" t="str">
        <f t="shared" si="6"/>
        <v>翡翠台</v>
      </c>
      <c r="O20" s="1" t="str">
        <f t="shared" si="6"/>
        <v xml:space="preserve">http://r.jdshipin.com/GeWKr?id=fct406 </v>
      </c>
    </row>
    <row r="21" spans="2:15">
      <c r="B21" s="5" t="s">
        <v>17</v>
      </c>
      <c r="C21" s="4" t="s">
        <v>33</v>
      </c>
      <c r="D21" s="6" t="str">
        <f t="shared" si="0"/>
        <v>翡翠台</v>
      </c>
      <c r="E21" s="6" t="str">
        <f t="shared" si="1"/>
        <v xml:space="preserve">http://120.198.95.220:9901/tsfile/live/1004_1.m3u8?key=txiptv </v>
      </c>
      <c r="F21" s="6" t="str">
        <f t="shared" si="2"/>
        <v xml:space="preserve">#EXTINF:-1 tvg-name="翡翠台"  group-title="港澳" tvg-shift="0" catchup="default" catchup-days="7" catchup-source="http://120.198.95.220:9901/tsfile/live/1004_1.m3u8?key=txiptv ?startTime=${(b)10}&amp;endTime=${(e)10}" resolution="1920x1080" ,翡翠台http://120.198.95.220:9901/tsfile/live/1004_1.m3u8?key=txiptv </v>
      </c>
      <c r="G21" s="6" t="s">
        <v>9</v>
      </c>
      <c r="H21" s="6" t="str">
        <f t="shared" si="3"/>
        <v>翡翠台</v>
      </c>
      <c r="I21" s="6" t="s">
        <v>10</v>
      </c>
      <c r="J21" s="6" t="str">
        <f t="shared" si="4"/>
        <v>港澳</v>
      </c>
      <c r="K21" s="4" t="s">
        <v>11</v>
      </c>
      <c r="L21" s="7" t="str">
        <f t="shared" si="5"/>
        <v xml:space="preserve">http://120.198.95.220:9901/tsfile/live/1004_1.m3u8?key=txiptv </v>
      </c>
      <c r="M21" s="4" t="s">
        <v>12</v>
      </c>
      <c r="N21" s="1" t="str">
        <f t="shared" si="6"/>
        <v>翡翠台</v>
      </c>
      <c r="O21" s="1" t="str">
        <f t="shared" si="6"/>
        <v xml:space="preserve">http://120.198.95.220:9901/tsfile/live/1004_1.m3u8?key=txiptv </v>
      </c>
    </row>
    <row r="22" spans="2:15">
      <c r="B22" s="5" t="s">
        <v>17</v>
      </c>
      <c r="C22" s="4" t="s">
        <v>34</v>
      </c>
      <c r="D22" s="6" t="str">
        <f t="shared" si="0"/>
        <v>翡翠台</v>
      </c>
      <c r="E22" s="6" t="str">
        <f t="shared" si="1"/>
        <v xml:space="preserve">http://222.128.55.152:9080/live/gdfc.m3u8 </v>
      </c>
      <c r="F22" s="6" t="str">
        <f t="shared" si="2"/>
        <v xml:space="preserve">#EXTINF:-1 tvg-name="翡翠台"  group-title="港澳" tvg-shift="0" catchup="default" catchup-days="7" catchup-source="http://222.128.55.152:9080/live/gdfc.m3u8 ?startTime=${(b)10}&amp;endTime=${(e)10}" resolution="1920x1080" ,翡翠台http://222.128.55.152:9080/live/gdfc.m3u8 </v>
      </c>
      <c r="G22" s="6" t="s">
        <v>9</v>
      </c>
      <c r="H22" s="6" t="str">
        <f t="shared" si="3"/>
        <v>翡翠台</v>
      </c>
      <c r="I22" s="6" t="s">
        <v>10</v>
      </c>
      <c r="J22" s="6" t="str">
        <f t="shared" si="4"/>
        <v>港澳</v>
      </c>
      <c r="K22" s="4" t="s">
        <v>11</v>
      </c>
      <c r="L22" s="7" t="str">
        <f t="shared" si="5"/>
        <v xml:space="preserve">http://222.128.55.152:9080/live/gdfc.m3u8 </v>
      </c>
      <c r="M22" s="4" t="s">
        <v>12</v>
      </c>
      <c r="N22" s="1" t="str">
        <f t="shared" si="6"/>
        <v>翡翠台</v>
      </c>
      <c r="O22" s="1" t="str">
        <f t="shared" si="6"/>
        <v xml:space="preserve">http://222.128.55.152:9080/live/gdfc.m3u8 </v>
      </c>
    </row>
    <row r="23" spans="2:15">
      <c r="B23" s="5" t="s">
        <v>17</v>
      </c>
      <c r="C23" s="4" t="s">
        <v>35</v>
      </c>
      <c r="D23" s="6" t="str">
        <f t="shared" si="0"/>
        <v>翡翠台</v>
      </c>
      <c r="E23" s="6" t="str">
        <f t="shared" si="1"/>
        <v xml:space="preserve">http://r.jdshipin.com/qrfbg </v>
      </c>
      <c r="F23" s="6" t="str">
        <f t="shared" si="2"/>
        <v xml:space="preserve">#EXTINF:-1 tvg-name="翡翠台"  group-title="港澳" tvg-shift="0" catchup="default" catchup-days="7" catchup-source="http://r.jdshipin.com/qrfbg ?startTime=${(b)10}&amp;endTime=${(e)10}" resolution="1920x1080" ,翡翠台http://r.jdshipin.com/qrfbg </v>
      </c>
      <c r="G23" s="6" t="s">
        <v>9</v>
      </c>
      <c r="H23" s="6" t="str">
        <f t="shared" si="3"/>
        <v>翡翠台</v>
      </c>
      <c r="I23" s="6" t="s">
        <v>10</v>
      </c>
      <c r="J23" s="6" t="str">
        <f t="shared" si="4"/>
        <v>港澳</v>
      </c>
      <c r="K23" s="4" t="s">
        <v>11</v>
      </c>
      <c r="L23" s="7" t="str">
        <f t="shared" si="5"/>
        <v xml:space="preserve">http://r.jdshipin.com/qrfbg </v>
      </c>
      <c r="M23" s="4" t="s">
        <v>12</v>
      </c>
      <c r="N23" s="1" t="str">
        <f t="shared" si="6"/>
        <v>翡翠台</v>
      </c>
      <c r="O23" s="1" t="str">
        <f t="shared" si="6"/>
        <v xml:space="preserve">http://r.jdshipin.com/qrfbg </v>
      </c>
    </row>
    <row r="24" spans="2:15">
      <c r="B24" s="5" t="s">
        <v>17</v>
      </c>
      <c r="C24" s="4" t="s">
        <v>36</v>
      </c>
      <c r="D24" s="6" t="str">
        <f t="shared" si="0"/>
        <v>翡翠台</v>
      </c>
      <c r="E24" s="6" t="str">
        <f t="shared" si="1"/>
        <v xml:space="preserve">http://r.jdshipin.com/GeWKr </v>
      </c>
      <c r="F24" s="6" t="str">
        <f t="shared" si="2"/>
        <v xml:space="preserve">#EXTINF:-1 tvg-name="翡翠台"  group-title="港澳" tvg-shift="0" catchup="default" catchup-days="7" catchup-source="http://r.jdshipin.com/GeWKr ?startTime=${(b)10}&amp;endTime=${(e)10}" resolution="1920x1080" ,翡翠台http://r.jdshipin.com/GeWKr </v>
      </c>
      <c r="G24" s="6" t="s">
        <v>9</v>
      </c>
      <c r="H24" s="6" t="str">
        <f t="shared" si="3"/>
        <v>翡翠台</v>
      </c>
      <c r="I24" s="6" t="s">
        <v>10</v>
      </c>
      <c r="J24" s="6" t="str">
        <f t="shared" si="4"/>
        <v>港澳</v>
      </c>
      <c r="K24" s="4" t="s">
        <v>11</v>
      </c>
      <c r="L24" s="7" t="str">
        <f t="shared" si="5"/>
        <v xml:space="preserve">http://r.jdshipin.com/GeWKr </v>
      </c>
      <c r="M24" s="4" t="s">
        <v>12</v>
      </c>
      <c r="N24" s="1" t="str">
        <f t="shared" si="6"/>
        <v>翡翠台</v>
      </c>
      <c r="O24" s="1" t="str">
        <f t="shared" si="6"/>
        <v xml:space="preserve">http://r.jdshipin.com/GeWKr </v>
      </c>
    </row>
    <row r="25" spans="2:15">
      <c r="B25" s="5" t="s">
        <v>17</v>
      </c>
      <c r="C25" s="4" t="s">
        <v>37</v>
      </c>
      <c r="D25" s="6" t="str">
        <f t="shared" si="0"/>
        <v>翡翠台4K</v>
      </c>
      <c r="E25" s="6" t="str">
        <f t="shared" si="1"/>
        <v xml:space="preserve">http://cdn6.163189.xyz/163189/fct4k </v>
      </c>
      <c r="F25" s="6" t="str">
        <f t="shared" si="2"/>
        <v xml:space="preserve">#EXTINF:-1 tvg-name="翡翠台4K"  group-title="港澳" tvg-shift="0" catchup="default" catchup-days="7" catchup-source="http://cdn6.163189.xyz/163189/fct4k ?startTime=${(b)10}&amp;endTime=${(e)10}" resolution="1920x1080" ,翡翠台4Khttp://cdn6.163189.xyz/163189/fct4k </v>
      </c>
      <c r="G25" s="6" t="s">
        <v>9</v>
      </c>
      <c r="H25" s="6" t="str">
        <f t="shared" si="3"/>
        <v>翡翠台4K</v>
      </c>
      <c r="I25" s="6" t="s">
        <v>10</v>
      </c>
      <c r="J25" s="6" t="str">
        <f t="shared" si="4"/>
        <v>港澳</v>
      </c>
      <c r="K25" s="4" t="s">
        <v>11</v>
      </c>
      <c r="L25" s="7" t="str">
        <f t="shared" si="5"/>
        <v xml:space="preserve">http://cdn6.163189.xyz/163189/fct4k </v>
      </c>
      <c r="M25" s="4" t="s">
        <v>12</v>
      </c>
      <c r="N25" s="1" t="str">
        <f t="shared" si="6"/>
        <v>翡翠台4K</v>
      </c>
      <c r="O25" s="1" t="str">
        <f t="shared" si="6"/>
        <v xml:space="preserve">http://cdn6.163189.xyz/163189/fct4k </v>
      </c>
    </row>
    <row r="26" spans="2:15">
      <c r="B26" s="5" t="s">
        <v>17</v>
      </c>
      <c r="C26" s="4" t="s">
        <v>38</v>
      </c>
      <c r="D26" s="6" t="str">
        <f t="shared" si="0"/>
        <v>华丽翡翠台</v>
      </c>
      <c r="E26" s="6" t="str">
        <f t="shared" si="1"/>
        <v>https://o11.163189.xyz/stream/live/hlt/</v>
      </c>
      <c r="F26" s="6" t="str">
        <f t="shared" si="2"/>
        <v>#EXTINF:-1 tvg-name="华丽翡翠台"  group-title="港澳" tvg-shift="0" catchup="default" catchup-days="7" catchup-source="https://o11.163189.xyz/stream/live/hlt/?startTime=${(b)10}&amp;endTime=${(e)10}" resolution="1920x1080" ,华丽翡翠台https://o11.163189.xyz/stream/live/hlt/</v>
      </c>
      <c r="G26" s="6" t="s">
        <v>9</v>
      </c>
      <c r="H26" s="6" t="str">
        <f t="shared" si="3"/>
        <v>华丽翡翠台</v>
      </c>
      <c r="I26" s="6" t="s">
        <v>10</v>
      </c>
      <c r="J26" s="6" t="str">
        <f t="shared" si="4"/>
        <v>港澳</v>
      </c>
      <c r="K26" s="4" t="s">
        <v>11</v>
      </c>
      <c r="L26" s="7" t="str">
        <f t="shared" si="5"/>
        <v>https://o11.163189.xyz/stream/live/hlt/</v>
      </c>
      <c r="M26" s="4" t="s">
        <v>12</v>
      </c>
      <c r="N26" s="1" t="str">
        <f t="shared" si="6"/>
        <v>华丽翡翠台</v>
      </c>
      <c r="O26" s="1" t="str">
        <f t="shared" si="6"/>
        <v>https://o11.163189.xyz/stream/live/hlt/</v>
      </c>
    </row>
    <row r="27" spans="2:15">
      <c r="B27" s="5" t="s">
        <v>17</v>
      </c>
      <c r="C27" s="4" t="s">
        <v>39</v>
      </c>
      <c r="D27" s="6" t="str">
        <f t="shared" si="0"/>
        <v>TVB-獎門人</v>
      </c>
      <c r="E27" s="6" t="str">
        <f t="shared" si="1"/>
        <v>http://iptv.4666888.xyz/iptv2A.php?id=31</v>
      </c>
      <c r="F27" s="6" t="str">
        <f t="shared" si="2"/>
        <v>#EXTINF:-1 tvg-name="TVB-獎門人"  group-title="港澳" tvg-shift="0" catchup="default" catchup-days="7" catchup-source="http://iptv.4666888.xyz/iptv2A.php?id=31?startTime=${(b)10}&amp;endTime=${(e)10}" resolution="1920x1080" ,TVB-獎門人http://iptv.4666888.xyz/iptv2A.php?id=31</v>
      </c>
      <c r="G27" s="6" t="s">
        <v>9</v>
      </c>
      <c r="H27" s="6" t="str">
        <f t="shared" si="3"/>
        <v>TVB-獎門人</v>
      </c>
      <c r="I27" s="6" t="s">
        <v>10</v>
      </c>
      <c r="J27" s="6" t="str">
        <f t="shared" si="4"/>
        <v>港澳</v>
      </c>
      <c r="K27" s="4" t="s">
        <v>11</v>
      </c>
      <c r="L27" s="7" t="str">
        <f t="shared" si="5"/>
        <v>http://iptv.4666888.xyz/iptv2A.php?id=31</v>
      </c>
      <c r="M27" s="4" t="s">
        <v>12</v>
      </c>
      <c r="N27" s="1" t="str">
        <f t="shared" si="6"/>
        <v>TVB-獎門人</v>
      </c>
      <c r="O27" s="1" t="str">
        <f t="shared" si="6"/>
        <v>http://iptv.4666888.xyz/iptv2A.php?id=31</v>
      </c>
    </row>
    <row r="28" spans="2:15">
      <c r="B28" s="5" t="s">
        <v>17</v>
      </c>
      <c r="C28" s="4" t="s">
        <v>40</v>
      </c>
      <c r="D28" s="6" t="str">
        <f t="shared" si="0"/>
        <v>TVBS精采</v>
      </c>
      <c r="E28" s="6" t="str">
        <f t="shared" si="1"/>
        <v>http://iptv.4666888.xyz/iptv2A.php?id=47</v>
      </c>
      <c r="F28" s="6" t="str">
        <f t="shared" si="2"/>
        <v>#EXTINF:-1 tvg-name="TVBS精采"  group-title="港澳" tvg-shift="0" catchup="default" catchup-days="7" catchup-source="http://iptv.4666888.xyz/iptv2A.php?id=47?startTime=${(b)10}&amp;endTime=${(e)10}" resolution="1920x1080" ,TVBS精采http://iptv.4666888.xyz/iptv2A.php?id=47</v>
      </c>
      <c r="G28" s="6" t="s">
        <v>9</v>
      </c>
      <c r="H28" s="6" t="str">
        <f t="shared" si="3"/>
        <v>TVBS精采</v>
      </c>
      <c r="I28" s="6" t="s">
        <v>10</v>
      </c>
      <c r="J28" s="6" t="str">
        <f t="shared" si="4"/>
        <v>港澳</v>
      </c>
      <c r="K28" s="4" t="s">
        <v>11</v>
      </c>
      <c r="L28" s="7" t="str">
        <f t="shared" si="5"/>
        <v>http://iptv.4666888.xyz/iptv2A.php?id=47</v>
      </c>
      <c r="M28" s="4" t="s">
        <v>12</v>
      </c>
      <c r="N28" s="1" t="str">
        <f t="shared" si="6"/>
        <v>TVBS精采</v>
      </c>
      <c r="O28" s="1" t="str">
        <f t="shared" si="6"/>
        <v>http://iptv.4666888.xyz/iptv2A.php?id=47</v>
      </c>
    </row>
    <row r="29" spans="2:15">
      <c r="B29" s="5" t="s">
        <v>17</v>
      </c>
      <c r="C29" s="4" t="s">
        <v>41</v>
      </c>
      <c r="D29" s="6" t="str">
        <f t="shared" si="0"/>
        <v>TVB-金曲</v>
      </c>
      <c r="E29" s="6" t="str">
        <f t="shared" si="1"/>
        <v>http://iptv.4666888.xyz/iptv2A.php?id=57</v>
      </c>
      <c r="F29" s="6" t="str">
        <f t="shared" si="2"/>
        <v>#EXTINF:-1 tvg-name="TVB-金曲"  group-title="港澳" tvg-shift="0" catchup="default" catchup-days="7" catchup-source="http://iptv.4666888.xyz/iptv2A.php?id=57?startTime=${(b)10}&amp;endTime=${(e)10}" resolution="1920x1080" ,TVB-金曲http://iptv.4666888.xyz/iptv2A.php?id=57</v>
      </c>
      <c r="G29" s="6" t="s">
        <v>9</v>
      </c>
      <c r="H29" s="6" t="str">
        <f t="shared" si="3"/>
        <v>TVB-金曲</v>
      </c>
      <c r="I29" s="6" t="s">
        <v>10</v>
      </c>
      <c r="J29" s="6" t="str">
        <f t="shared" si="4"/>
        <v>港澳</v>
      </c>
      <c r="K29" s="4" t="s">
        <v>11</v>
      </c>
      <c r="L29" s="7" t="str">
        <f t="shared" si="5"/>
        <v>http://iptv.4666888.xyz/iptv2A.php?id=57</v>
      </c>
      <c r="M29" s="4" t="s">
        <v>12</v>
      </c>
      <c r="N29" s="1" t="str">
        <f t="shared" si="6"/>
        <v>TVB-金曲</v>
      </c>
      <c r="O29" s="1" t="str">
        <f t="shared" si="6"/>
        <v>http://iptv.4666888.xyz/iptv2A.php?id=57</v>
      </c>
    </row>
    <row r="30" spans="2:15">
      <c r="B30" s="5" t="s">
        <v>17</v>
      </c>
      <c r="C30" s="4" t="s">
        <v>42</v>
      </c>
      <c r="D30" s="6" t="str">
        <f t="shared" si="0"/>
        <v>VIUTV</v>
      </c>
      <c r="E30" s="6" t="str">
        <f t="shared" si="1"/>
        <v>https://cdn.163189.xyz/163189/viu</v>
      </c>
      <c r="F30" s="6" t="str">
        <f t="shared" si="2"/>
        <v>#EXTINF:-1 tvg-name="VIUTV"  group-title="港澳" tvg-shift="0" catchup="default" catchup-days="7" catchup-source="https://cdn.163189.xyz/163189/viu?startTime=${(b)10}&amp;endTime=${(e)10}" resolution="1920x1080" ,VIUTVhttps://cdn.163189.xyz/163189/viu</v>
      </c>
      <c r="G30" s="6" t="s">
        <v>9</v>
      </c>
      <c r="H30" s="6" t="str">
        <f t="shared" si="3"/>
        <v>VIUTV</v>
      </c>
      <c r="I30" s="6" t="s">
        <v>10</v>
      </c>
      <c r="J30" s="6" t="str">
        <f t="shared" si="4"/>
        <v>港澳</v>
      </c>
      <c r="K30" s="4" t="s">
        <v>11</v>
      </c>
      <c r="L30" s="7" t="str">
        <f t="shared" si="5"/>
        <v>https://cdn.163189.xyz/163189/viu</v>
      </c>
      <c r="M30" s="4" t="s">
        <v>12</v>
      </c>
      <c r="N30" s="1" t="str">
        <f t="shared" si="6"/>
        <v>VIUTV</v>
      </c>
      <c r="O30" s="1" t="str">
        <f t="shared" si="6"/>
        <v>https://cdn.163189.xyz/163189/viu</v>
      </c>
    </row>
    <row r="31" spans="2:15">
      <c r="B31" s="5" t="s">
        <v>17</v>
      </c>
      <c r="C31" s="4" t="s">
        <v>43</v>
      </c>
      <c r="D31" s="6" t="str">
        <f t="shared" si="0"/>
        <v>RTHK32</v>
      </c>
      <c r="E31" s="6" t="str">
        <f t="shared" si="1"/>
        <v>http://cdn.163189.xyz/163189/rthk32</v>
      </c>
      <c r="F31" s="6" t="str">
        <f t="shared" si="2"/>
        <v>#EXTINF:-1 tvg-name="RTHK32"  group-title="港澳" tvg-shift="0" catchup="default" catchup-days="7" catchup-source="http://cdn.163189.xyz/163189/rthk32?startTime=${(b)10}&amp;endTime=${(e)10}" resolution="1920x1080" ,RTHK32http://cdn.163189.xyz/163189/rthk32</v>
      </c>
      <c r="G31" s="6" t="s">
        <v>9</v>
      </c>
      <c r="H31" s="6" t="str">
        <f t="shared" si="3"/>
        <v>RTHK32</v>
      </c>
      <c r="I31" s="6" t="s">
        <v>10</v>
      </c>
      <c r="J31" s="6" t="str">
        <f t="shared" si="4"/>
        <v>港澳</v>
      </c>
      <c r="K31" s="4" t="s">
        <v>11</v>
      </c>
      <c r="L31" s="7" t="str">
        <f t="shared" si="5"/>
        <v>http://cdn.163189.xyz/163189/rthk32</v>
      </c>
      <c r="M31" s="4" t="s">
        <v>12</v>
      </c>
      <c r="N31" s="1" t="str">
        <f t="shared" si="6"/>
        <v>RTHK32</v>
      </c>
      <c r="O31" s="1" t="str">
        <f t="shared" si="6"/>
        <v>http://cdn.163189.xyz/163189/rthk32</v>
      </c>
    </row>
    <row r="32" spans="2:15">
      <c r="B32" s="5" t="s">
        <v>17</v>
      </c>
      <c r="C32" s="4" t="s">
        <v>44</v>
      </c>
      <c r="D32" s="6" t="str">
        <f t="shared" si="0"/>
        <v>CH5</v>
      </c>
      <c r="E32" s="6" t="str">
        <f t="shared" si="1"/>
        <v>http://cdn6.163189.xyz/163189/ch5</v>
      </c>
      <c r="F32" s="6" t="str">
        <f t="shared" si="2"/>
        <v>#EXTINF:-1 tvg-name="CH5"  group-title="港澳" tvg-shift="0" catchup="default" catchup-days="7" catchup-source="http://cdn6.163189.xyz/163189/ch5?startTime=${(b)10}&amp;endTime=${(e)10}" resolution="1920x1080" ,CH5http://cdn6.163189.xyz/163189/ch5</v>
      </c>
      <c r="G32" s="6" t="s">
        <v>9</v>
      </c>
      <c r="H32" s="6" t="str">
        <f t="shared" si="3"/>
        <v>CH5</v>
      </c>
      <c r="I32" s="6" t="s">
        <v>10</v>
      </c>
      <c r="J32" s="6" t="str">
        <f t="shared" si="4"/>
        <v>港澳</v>
      </c>
      <c r="K32" s="4" t="s">
        <v>11</v>
      </c>
      <c r="L32" s="7" t="str">
        <f t="shared" si="5"/>
        <v>http://cdn6.163189.xyz/163189/ch5</v>
      </c>
      <c r="M32" s="4" t="s">
        <v>12</v>
      </c>
      <c r="N32" s="1" t="str">
        <f t="shared" si="6"/>
        <v>CH5</v>
      </c>
      <c r="O32" s="1" t="str">
        <f t="shared" si="6"/>
        <v>http://cdn6.163189.xyz/163189/ch5</v>
      </c>
    </row>
    <row r="33" spans="2:15">
      <c r="B33" s="5" t="s">
        <v>17</v>
      </c>
      <c r="C33" s="4" t="s">
        <v>45</v>
      </c>
      <c r="D33" s="6" t="str">
        <f t="shared" si="0"/>
        <v>CH5</v>
      </c>
      <c r="E33" s="6" t="str">
        <f t="shared" si="1"/>
        <v xml:space="preserve">https://cdn6.163189.xyz/163189/ch5 </v>
      </c>
      <c r="F33" s="6" t="str">
        <f t="shared" si="2"/>
        <v xml:space="preserve">#EXTINF:-1 tvg-name="CH5"  group-title="港澳" tvg-shift="0" catchup="default" catchup-days="7" catchup-source="https://cdn6.163189.xyz/163189/ch5 ?startTime=${(b)10}&amp;endTime=${(e)10}" resolution="1920x1080" ,CH5https://cdn6.163189.xyz/163189/ch5 </v>
      </c>
      <c r="G33" s="6" t="s">
        <v>9</v>
      </c>
      <c r="H33" s="6" t="str">
        <f t="shared" si="3"/>
        <v>CH5</v>
      </c>
      <c r="I33" s="6" t="s">
        <v>10</v>
      </c>
      <c r="J33" s="6" t="str">
        <f t="shared" si="4"/>
        <v>港澳</v>
      </c>
      <c r="K33" s="4" t="s">
        <v>11</v>
      </c>
      <c r="L33" s="7" t="str">
        <f t="shared" si="5"/>
        <v xml:space="preserve">https://cdn6.163189.xyz/163189/ch5 </v>
      </c>
      <c r="M33" s="4" t="s">
        <v>12</v>
      </c>
      <c r="N33" s="1" t="str">
        <f t="shared" si="6"/>
        <v>CH5</v>
      </c>
      <c r="O33" s="1" t="str">
        <f t="shared" si="6"/>
        <v xml:space="preserve">https://cdn6.163189.xyz/163189/ch5 </v>
      </c>
    </row>
    <row r="34" spans="2:15">
      <c r="B34" s="5" t="s">
        <v>17</v>
      </c>
      <c r="C34" s="4" t="s">
        <v>46</v>
      </c>
      <c r="D34" s="6" t="str">
        <f t="shared" si="0"/>
        <v>CH8</v>
      </c>
      <c r="E34" s="6" t="str">
        <f t="shared" si="1"/>
        <v>http://cdn6.163189.xyz/163189/ch8</v>
      </c>
      <c r="F34" s="6" t="str">
        <f t="shared" si="2"/>
        <v>#EXTINF:-1 tvg-name="CH8"  group-title="港澳" tvg-shift="0" catchup="default" catchup-days="7" catchup-source="http://cdn6.163189.xyz/163189/ch8?startTime=${(b)10}&amp;endTime=${(e)10}" resolution="1920x1080" ,CH8http://cdn6.163189.xyz/163189/ch8</v>
      </c>
      <c r="G34" s="6" t="s">
        <v>9</v>
      </c>
      <c r="H34" s="6" t="str">
        <f t="shared" si="3"/>
        <v>CH8</v>
      </c>
      <c r="I34" s="6" t="s">
        <v>10</v>
      </c>
      <c r="J34" s="6" t="str">
        <f t="shared" si="4"/>
        <v>港澳</v>
      </c>
      <c r="K34" s="4" t="s">
        <v>11</v>
      </c>
      <c r="L34" s="7" t="str">
        <f t="shared" si="5"/>
        <v>http://cdn6.163189.xyz/163189/ch8</v>
      </c>
      <c r="M34" s="4" t="s">
        <v>12</v>
      </c>
      <c r="N34" s="1" t="str">
        <f t="shared" ref="N34:O68" si="7">D34</f>
        <v>CH8</v>
      </c>
      <c r="O34" s="1" t="str">
        <f t="shared" si="7"/>
        <v>http://cdn6.163189.xyz/163189/ch8</v>
      </c>
    </row>
    <row r="35" spans="2:15">
      <c r="B35" s="5" t="s">
        <v>17</v>
      </c>
      <c r="C35" s="4" t="s">
        <v>47</v>
      </c>
      <c r="D35" s="6" t="str">
        <f t="shared" si="0"/>
        <v>CH8</v>
      </c>
      <c r="E35" s="6" t="str">
        <f t="shared" si="1"/>
        <v xml:space="preserve">https://cdn6.163189.xyz/163189/ch8 </v>
      </c>
      <c r="F35" s="6" t="str">
        <f t="shared" si="2"/>
        <v xml:space="preserve">#EXTINF:-1 tvg-name="CH8"  group-title="港澳" tvg-shift="0" catchup="default" catchup-days="7" catchup-source="https://cdn6.163189.xyz/163189/ch8 ?startTime=${(b)10}&amp;endTime=${(e)10}" resolution="1920x1080" ,CH8https://cdn6.163189.xyz/163189/ch8 </v>
      </c>
      <c r="G35" s="6" t="s">
        <v>9</v>
      </c>
      <c r="H35" s="6" t="str">
        <f t="shared" si="3"/>
        <v>CH8</v>
      </c>
      <c r="I35" s="6" t="s">
        <v>10</v>
      </c>
      <c r="J35" s="6" t="str">
        <f t="shared" si="4"/>
        <v>港澳</v>
      </c>
      <c r="K35" s="4" t="s">
        <v>11</v>
      </c>
      <c r="L35" s="7" t="str">
        <f t="shared" si="5"/>
        <v xml:space="preserve">https://cdn6.163189.xyz/163189/ch8 </v>
      </c>
      <c r="M35" s="4" t="s">
        <v>12</v>
      </c>
      <c r="N35" s="1" t="str">
        <f t="shared" si="7"/>
        <v>CH8</v>
      </c>
      <c r="O35" s="1" t="str">
        <f t="shared" si="7"/>
        <v xml:space="preserve">https://cdn6.163189.xyz/163189/ch8 </v>
      </c>
    </row>
    <row r="36" spans="2:15">
      <c r="B36" s="5" t="s">
        <v>17</v>
      </c>
      <c r="C36" s="4" t="s">
        <v>48</v>
      </c>
      <c r="D36" s="6" t="str">
        <f t="shared" si="0"/>
        <v>澳视卫星</v>
      </c>
      <c r="E36" s="6" t="str">
        <f t="shared" si="1"/>
        <v xml:space="preserve">https://cdn6.163189.xyz/163189/as </v>
      </c>
      <c r="F36" s="6" t="str">
        <f t="shared" si="2"/>
        <v xml:space="preserve">#EXTINF:-1 tvg-name="澳视卫星"  group-title="港澳" tvg-shift="0" catchup="default" catchup-days="7" catchup-source="https://cdn6.163189.xyz/163189/as ?startTime=${(b)10}&amp;endTime=${(e)10}" resolution="1920x1080" ,澳视卫星https://cdn6.163189.xyz/163189/as </v>
      </c>
      <c r="G36" s="6" t="s">
        <v>9</v>
      </c>
      <c r="H36" s="6" t="str">
        <f t="shared" si="3"/>
        <v>澳视卫星</v>
      </c>
      <c r="I36" s="6" t="s">
        <v>10</v>
      </c>
      <c r="J36" s="6" t="str">
        <f t="shared" si="4"/>
        <v>港澳</v>
      </c>
      <c r="K36" s="4" t="s">
        <v>11</v>
      </c>
      <c r="L36" s="7" t="str">
        <f t="shared" si="5"/>
        <v xml:space="preserve">https://cdn6.163189.xyz/163189/as </v>
      </c>
      <c r="M36" s="4" t="s">
        <v>12</v>
      </c>
      <c r="N36" s="1" t="str">
        <f t="shared" si="7"/>
        <v>澳视卫星</v>
      </c>
      <c r="O36" s="1" t="str">
        <f t="shared" si="7"/>
        <v xml:space="preserve">https://cdn6.163189.xyz/163189/as </v>
      </c>
    </row>
    <row r="37" spans="2:15">
      <c r="B37" s="5" t="s">
        <v>17</v>
      </c>
      <c r="C37" s="4" t="s">
        <v>49</v>
      </c>
      <c r="D37" s="6" t="str">
        <f t="shared" si="0"/>
        <v>澳视澳门</v>
      </c>
      <c r="E37" s="6" t="str">
        <f t="shared" si="1"/>
        <v xml:space="preserve">https://cdn6.163189.xyz/163189/asam </v>
      </c>
      <c r="F37" s="6" t="str">
        <f t="shared" si="2"/>
        <v xml:space="preserve">#EXTINF:-1 tvg-name="澳视澳门"  group-title="港澳" tvg-shift="0" catchup="default" catchup-days="7" catchup-source="https://cdn6.163189.xyz/163189/asam ?startTime=${(b)10}&amp;endTime=${(e)10}" resolution="1920x1080" ,澳视澳门https://cdn6.163189.xyz/163189/asam </v>
      </c>
      <c r="G37" s="6" t="s">
        <v>9</v>
      </c>
      <c r="H37" s="6" t="str">
        <f t="shared" si="3"/>
        <v>澳视澳门</v>
      </c>
      <c r="I37" s="6" t="s">
        <v>10</v>
      </c>
      <c r="J37" s="6" t="str">
        <f t="shared" si="4"/>
        <v>港澳</v>
      </c>
      <c r="K37" s="4" t="s">
        <v>11</v>
      </c>
      <c r="L37" s="7" t="str">
        <f t="shared" si="5"/>
        <v xml:space="preserve">https://cdn6.163189.xyz/163189/asam </v>
      </c>
      <c r="M37" s="4" t="s">
        <v>12</v>
      </c>
      <c r="N37" s="1" t="str">
        <f t="shared" si="7"/>
        <v>澳视澳门</v>
      </c>
      <c r="O37" s="1" t="str">
        <f t="shared" si="7"/>
        <v xml:space="preserve">https://cdn6.163189.xyz/163189/asam </v>
      </c>
    </row>
    <row r="38" spans="2:15">
      <c r="B38" s="5" t="s">
        <v>17</v>
      </c>
      <c r="C38" s="4" t="s">
        <v>50</v>
      </c>
      <c r="D38" s="6" t="str">
        <f t="shared" si="0"/>
        <v>澳视澳门</v>
      </c>
      <c r="E38" s="6" t="str">
        <f t="shared" si="1"/>
        <v xml:space="preserve">http://r.jdshipin.com/n2YZI </v>
      </c>
      <c r="F38" s="6" t="str">
        <f t="shared" si="2"/>
        <v xml:space="preserve">#EXTINF:-1 tvg-name="澳视澳门"  group-title="港澳" tvg-shift="0" catchup="default" catchup-days="7" catchup-source="http://r.jdshipin.com/n2YZI ?startTime=${(b)10}&amp;endTime=${(e)10}" resolution="1920x1080" ,澳视澳门http://r.jdshipin.com/n2YZI </v>
      </c>
      <c r="G38" s="6" t="s">
        <v>9</v>
      </c>
      <c r="H38" s="6" t="str">
        <f t="shared" si="3"/>
        <v>澳视澳门</v>
      </c>
      <c r="I38" s="6" t="s">
        <v>10</v>
      </c>
      <c r="J38" s="6" t="str">
        <f t="shared" si="4"/>
        <v>港澳</v>
      </c>
      <c r="K38" s="4" t="s">
        <v>11</v>
      </c>
      <c r="L38" s="7" t="str">
        <f t="shared" si="5"/>
        <v xml:space="preserve">http://r.jdshipin.com/n2YZI </v>
      </c>
      <c r="M38" s="4" t="s">
        <v>12</v>
      </c>
      <c r="N38" s="1" t="str">
        <f t="shared" si="7"/>
        <v>澳视澳门</v>
      </c>
      <c r="O38" s="1" t="str">
        <f t="shared" si="7"/>
        <v xml:space="preserve">http://r.jdshipin.com/n2YZI </v>
      </c>
    </row>
    <row r="39" spans="2:15">
      <c r="B39" s="5" t="s">
        <v>17</v>
      </c>
      <c r="C39" s="4" t="s">
        <v>51</v>
      </c>
      <c r="D39" s="6" t="str">
        <f t="shared" si="0"/>
        <v>澳视澳门</v>
      </c>
      <c r="E39" s="6" t="str">
        <f t="shared" si="1"/>
        <v>http://iptv.4666888.xyz/iptv2A.php?id=41</v>
      </c>
      <c r="F39" s="6" t="str">
        <f t="shared" si="2"/>
        <v>#EXTINF:-1 tvg-name="澳视澳门"  group-title="港澳" tvg-shift="0" catchup="default" catchup-days="7" catchup-source="http://iptv.4666888.xyz/iptv2A.php?id=41?startTime=${(b)10}&amp;endTime=${(e)10}" resolution="1920x1080" ,澳视澳门http://iptv.4666888.xyz/iptv2A.php?id=41</v>
      </c>
      <c r="G39" s="6" t="s">
        <v>9</v>
      </c>
      <c r="H39" s="6" t="str">
        <f t="shared" si="3"/>
        <v>澳视澳门</v>
      </c>
      <c r="I39" s="6" t="s">
        <v>10</v>
      </c>
      <c r="J39" s="6" t="str">
        <f t="shared" si="4"/>
        <v>港澳</v>
      </c>
      <c r="K39" s="4" t="s">
        <v>11</v>
      </c>
      <c r="L39" s="7" t="str">
        <f t="shared" si="5"/>
        <v>http://iptv.4666888.xyz/iptv2A.php?id=41</v>
      </c>
      <c r="M39" s="4" t="s">
        <v>12</v>
      </c>
      <c r="N39" s="1" t="str">
        <f t="shared" si="7"/>
        <v>澳视澳门</v>
      </c>
      <c r="O39" s="1" t="str">
        <f t="shared" si="7"/>
        <v>http://iptv.4666888.xyz/iptv2A.php?id=41</v>
      </c>
    </row>
    <row r="40" spans="2:15">
      <c r="B40" s="5" t="s">
        <v>17</v>
      </c>
      <c r="C40" s="4" t="s">
        <v>52</v>
      </c>
      <c r="D40" s="6" t="str">
        <f t="shared" si="0"/>
        <v>澳门体育</v>
      </c>
      <c r="E40" s="6" t="str">
        <f t="shared" si="1"/>
        <v>http://cdn6.163189.xyz/163189/amty</v>
      </c>
      <c r="F40" s="6" t="str">
        <f t="shared" si="2"/>
        <v>#EXTINF:-1 tvg-name="澳门体育"  group-title="港澳" tvg-shift="0" catchup="default" catchup-days="7" catchup-source="http://cdn6.163189.xyz/163189/amty?startTime=${(b)10}&amp;endTime=${(e)10}" resolution="1920x1080" ,澳门体育http://cdn6.163189.xyz/163189/amty</v>
      </c>
      <c r="G40" s="6" t="s">
        <v>9</v>
      </c>
      <c r="H40" s="6" t="str">
        <f t="shared" si="3"/>
        <v>澳门体育</v>
      </c>
      <c r="I40" s="6" t="s">
        <v>10</v>
      </c>
      <c r="J40" s="6" t="str">
        <f t="shared" si="4"/>
        <v>港澳</v>
      </c>
      <c r="K40" s="4" t="s">
        <v>11</v>
      </c>
      <c r="L40" s="7" t="str">
        <f t="shared" si="5"/>
        <v>http://cdn6.163189.xyz/163189/amty</v>
      </c>
      <c r="M40" s="4" t="s">
        <v>12</v>
      </c>
      <c r="N40" s="1" t="str">
        <f t="shared" si="7"/>
        <v>澳门体育</v>
      </c>
      <c r="O40" s="1" t="str">
        <f t="shared" si="7"/>
        <v>http://cdn6.163189.xyz/163189/amty</v>
      </c>
    </row>
    <row r="41" spans="2:15">
      <c r="B41" s="5" t="s">
        <v>17</v>
      </c>
      <c r="C41" s="4" t="s">
        <v>53</v>
      </c>
      <c r="D41" s="6" t="str">
        <f t="shared" si="0"/>
        <v>澳门体育</v>
      </c>
      <c r="E41" s="6" t="str">
        <f t="shared" si="1"/>
        <v xml:space="preserve">http://cdn6.163189.xyz/163189/amty </v>
      </c>
      <c r="F41" s="6" t="str">
        <f t="shared" si="2"/>
        <v xml:space="preserve">#EXTINF:-1 tvg-name="澳门体育"  group-title="港澳" tvg-shift="0" catchup="default" catchup-days="7" catchup-source="http://cdn6.163189.xyz/163189/amty ?startTime=${(b)10}&amp;endTime=${(e)10}" resolution="1920x1080" ,澳门体育http://cdn6.163189.xyz/163189/amty </v>
      </c>
      <c r="G41" s="6" t="s">
        <v>9</v>
      </c>
      <c r="H41" s="6" t="str">
        <f t="shared" si="3"/>
        <v>澳门体育</v>
      </c>
      <c r="I41" s="6" t="s">
        <v>10</v>
      </c>
      <c r="J41" s="6" t="str">
        <f t="shared" si="4"/>
        <v>港澳</v>
      </c>
      <c r="K41" s="4" t="s">
        <v>11</v>
      </c>
      <c r="L41" s="7" t="str">
        <f t="shared" si="5"/>
        <v xml:space="preserve">http://cdn6.163189.xyz/163189/amty </v>
      </c>
      <c r="M41" s="4" t="s">
        <v>12</v>
      </c>
      <c r="N41" s="1" t="str">
        <f t="shared" si="7"/>
        <v>澳门体育</v>
      </c>
      <c r="O41" s="1" t="str">
        <f t="shared" si="7"/>
        <v xml:space="preserve">http://cdn6.163189.xyz/163189/amty </v>
      </c>
    </row>
    <row r="42" spans="2:15">
      <c r="B42" s="5" t="s">
        <v>17</v>
      </c>
      <c r="C42" s="4" t="s">
        <v>54</v>
      </c>
      <c r="D42" s="6" t="str">
        <f t="shared" si="0"/>
        <v>澳门综艺</v>
      </c>
      <c r="E42" s="6" t="str">
        <f t="shared" si="1"/>
        <v>http://cdn6.163189.xyz/163189/amzy</v>
      </c>
      <c r="F42" s="6" t="str">
        <f t="shared" si="2"/>
        <v>#EXTINF:-1 tvg-name="澳门综艺"  group-title="港澳" tvg-shift="0" catchup="default" catchup-days="7" catchup-source="http://cdn6.163189.xyz/163189/amzy?startTime=${(b)10}&amp;endTime=${(e)10}" resolution="1920x1080" ,澳门综艺http://cdn6.163189.xyz/163189/amzy</v>
      </c>
      <c r="G42" s="6" t="s">
        <v>9</v>
      </c>
      <c r="H42" s="6" t="str">
        <f t="shared" si="3"/>
        <v>澳门综艺</v>
      </c>
      <c r="I42" s="6" t="s">
        <v>10</v>
      </c>
      <c r="J42" s="6" t="str">
        <f t="shared" si="4"/>
        <v>港澳</v>
      </c>
      <c r="K42" s="4" t="s">
        <v>11</v>
      </c>
      <c r="L42" s="7" t="str">
        <f t="shared" si="5"/>
        <v>http://cdn6.163189.xyz/163189/amzy</v>
      </c>
      <c r="M42" s="4" t="s">
        <v>12</v>
      </c>
      <c r="N42" s="1" t="str">
        <f t="shared" si="7"/>
        <v>澳门综艺</v>
      </c>
      <c r="O42" s="1" t="str">
        <f t="shared" si="7"/>
        <v>http://cdn6.163189.xyz/163189/amzy</v>
      </c>
    </row>
    <row r="43" spans="2:15">
      <c r="B43" s="5" t="s">
        <v>17</v>
      </c>
      <c r="C43" s="4" t="s">
        <v>55</v>
      </c>
      <c r="D43" s="6" t="str">
        <f t="shared" si="0"/>
        <v>NOW新闻台</v>
      </c>
      <c r="E43" s="6" t="str">
        <f t="shared" si="1"/>
        <v>http://cdn.163189.xyz/163189/now</v>
      </c>
      <c r="F43" s="6" t="str">
        <f t="shared" si="2"/>
        <v>#EXTINF:-1 tvg-name="NOW新闻台"  group-title="港澳" tvg-shift="0" catchup="default" catchup-days="7" catchup-source="http://cdn.163189.xyz/163189/now?startTime=${(b)10}&amp;endTime=${(e)10}" resolution="1920x1080" ,NOW新闻台http://cdn.163189.xyz/163189/now</v>
      </c>
      <c r="G43" s="6" t="s">
        <v>9</v>
      </c>
      <c r="H43" s="6" t="str">
        <f t="shared" si="3"/>
        <v>NOW新闻台</v>
      </c>
      <c r="I43" s="6" t="s">
        <v>10</v>
      </c>
      <c r="J43" s="6" t="str">
        <f t="shared" si="4"/>
        <v>港澳</v>
      </c>
      <c r="K43" s="4" t="s">
        <v>11</v>
      </c>
      <c r="L43" s="7" t="str">
        <f t="shared" si="5"/>
        <v>http://cdn.163189.xyz/163189/now</v>
      </c>
      <c r="M43" s="4" t="s">
        <v>12</v>
      </c>
      <c r="N43" s="1" t="str">
        <f t="shared" si="7"/>
        <v>NOW新闻台</v>
      </c>
      <c r="O43" s="1" t="str">
        <f t="shared" si="7"/>
        <v>http://cdn.163189.xyz/163189/now</v>
      </c>
    </row>
    <row r="44" spans="2:15">
      <c r="B44" s="5" t="s">
        <v>17</v>
      </c>
      <c r="C44" s="4" t="s">
        <v>55</v>
      </c>
      <c r="D44" s="6" t="str">
        <f t="shared" si="0"/>
        <v>NOW新闻台</v>
      </c>
      <c r="E44" s="6" t="str">
        <f t="shared" si="1"/>
        <v>http://cdn.163189.xyz/163189/now</v>
      </c>
      <c r="F44" s="6" t="str">
        <f t="shared" si="2"/>
        <v>#EXTINF:-1 tvg-name="NOW新闻台"  group-title="港澳" tvg-shift="0" catchup="default" catchup-days="7" catchup-source="http://cdn.163189.xyz/163189/now?startTime=${(b)10}&amp;endTime=${(e)10}" resolution="1920x1080" ,NOW新闻台http://cdn.163189.xyz/163189/now</v>
      </c>
      <c r="G44" s="6" t="s">
        <v>9</v>
      </c>
      <c r="H44" s="6" t="str">
        <f t="shared" si="3"/>
        <v>NOW新闻台</v>
      </c>
      <c r="I44" s="6" t="s">
        <v>10</v>
      </c>
      <c r="J44" s="6" t="str">
        <f t="shared" si="4"/>
        <v>港澳</v>
      </c>
      <c r="K44" s="4" t="s">
        <v>11</v>
      </c>
      <c r="L44" s="7" t="str">
        <f t="shared" si="5"/>
        <v>http://cdn.163189.xyz/163189/now</v>
      </c>
      <c r="M44" s="4" t="s">
        <v>12</v>
      </c>
      <c r="N44" s="1" t="str">
        <f t="shared" si="7"/>
        <v>NOW新闻台</v>
      </c>
      <c r="O44" s="1" t="str">
        <f t="shared" si="7"/>
        <v>http://cdn.163189.xyz/163189/now</v>
      </c>
    </row>
    <row r="45" spans="2:15">
      <c r="B45" s="5" t="s">
        <v>17</v>
      </c>
      <c r="D45" s="6" t="e">
        <f t="shared" si="0"/>
        <v>#VALUE!</v>
      </c>
      <c r="G45" s="6" t="s">
        <v>9</v>
      </c>
      <c r="H45" s="6" t="e">
        <f t="shared" si="3"/>
        <v>#VALUE!</v>
      </c>
      <c r="I45" s="6" t="s">
        <v>10</v>
      </c>
      <c r="J45" s="6" t="str">
        <f t="shared" si="4"/>
        <v>港澳</v>
      </c>
      <c r="K45" s="4" t="s">
        <v>11</v>
      </c>
      <c r="L45" s="7">
        <f t="shared" si="5"/>
        <v>0</v>
      </c>
      <c r="M45" s="4" t="s">
        <v>12</v>
      </c>
      <c r="N45" s="1" t="e">
        <f t="shared" si="7"/>
        <v>#VALUE!</v>
      </c>
      <c r="O45" s="1">
        <f t="shared" si="7"/>
        <v>0</v>
      </c>
    </row>
    <row r="46" spans="2:15">
      <c r="B46" s="5" t="s">
        <v>17</v>
      </c>
      <c r="D46" s="6" t="e">
        <f t="shared" si="0"/>
        <v>#VALUE!</v>
      </c>
      <c r="G46" s="6" t="s">
        <v>9</v>
      </c>
      <c r="H46" s="6" t="e">
        <f t="shared" si="3"/>
        <v>#VALUE!</v>
      </c>
      <c r="I46" s="6" t="s">
        <v>10</v>
      </c>
      <c r="J46" s="6" t="str">
        <f t="shared" si="4"/>
        <v>港澳</v>
      </c>
      <c r="K46" s="4" t="s">
        <v>11</v>
      </c>
      <c r="L46" s="7">
        <f t="shared" si="5"/>
        <v>0</v>
      </c>
      <c r="M46" s="4" t="s">
        <v>12</v>
      </c>
      <c r="N46" s="1" t="e">
        <f t="shared" si="7"/>
        <v>#VALUE!</v>
      </c>
      <c r="O46" s="1">
        <f t="shared" si="7"/>
        <v>0</v>
      </c>
    </row>
    <row r="47" spans="2:15">
      <c r="B47" s="5" t="s">
        <v>17</v>
      </c>
      <c r="D47" s="6" t="e">
        <f t="shared" si="0"/>
        <v>#VALUE!</v>
      </c>
      <c r="G47" s="6" t="s">
        <v>9</v>
      </c>
      <c r="H47" s="6" t="e">
        <f t="shared" si="3"/>
        <v>#VALUE!</v>
      </c>
      <c r="I47" s="6" t="s">
        <v>10</v>
      </c>
      <c r="J47" s="6" t="str">
        <f t="shared" si="4"/>
        <v>港澳</v>
      </c>
      <c r="K47" s="4" t="s">
        <v>11</v>
      </c>
      <c r="L47" s="7">
        <f t="shared" si="5"/>
        <v>0</v>
      </c>
      <c r="M47" s="4" t="s">
        <v>12</v>
      </c>
      <c r="N47" s="1" t="e">
        <f t="shared" si="7"/>
        <v>#VALUE!</v>
      </c>
      <c r="O47" s="1">
        <f t="shared" si="7"/>
        <v>0</v>
      </c>
    </row>
    <row r="48" spans="2:15">
      <c r="D48" s="6" t="e">
        <f t="shared" si="0"/>
        <v>#VALUE!</v>
      </c>
      <c r="G48" s="6" t="s">
        <v>9</v>
      </c>
      <c r="H48" s="6" t="e">
        <f t="shared" si="3"/>
        <v>#VALUE!</v>
      </c>
      <c r="I48" s="6" t="s">
        <v>10</v>
      </c>
      <c r="J48" s="6">
        <f t="shared" si="4"/>
        <v>0</v>
      </c>
      <c r="L48" s="7">
        <f t="shared" si="5"/>
        <v>0</v>
      </c>
      <c r="M48" s="4" t="s">
        <v>12</v>
      </c>
      <c r="N48" s="1" t="e">
        <f t="shared" si="7"/>
        <v>#VALUE!</v>
      </c>
      <c r="O48" s="1">
        <f t="shared" si="7"/>
        <v>0</v>
      </c>
    </row>
    <row r="49" spans="4:15">
      <c r="D49" s="6" t="e">
        <f t="shared" si="0"/>
        <v>#VALUE!</v>
      </c>
      <c r="G49" s="6" t="s">
        <v>9</v>
      </c>
      <c r="H49" s="6" t="e">
        <f t="shared" si="3"/>
        <v>#VALUE!</v>
      </c>
      <c r="I49" s="6" t="s">
        <v>10</v>
      </c>
      <c r="J49" s="6">
        <f t="shared" si="4"/>
        <v>0</v>
      </c>
      <c r="L49" s="7">
        <f t="shared" si="5"/>
        <v>0</v>
      </c>
      <c r="M49" s="4" t="s">
        <v>12</v>
      </c>
      <c r="N49" s="1" t="e">
        <f t="shared" si="7"/>
        <v>#VALUE!</v>
      </c>
      <c r="O49" s="1">
        <f t="shared" si="7"/>
        <v>0</v>
      </c>
    </row>
    <row r="50" spans="4:15">
      <c r="D50" s="6" t="e">
        <f t="shared" si="0"/>
        <v>#VALUE!</v>
      </c>
      <c r="G50" s="6" t="s">
        <v>9</v>
      </c>
      <c r="H50" s="6" t="e">
        <f t="shared" si="3"/>
        <v>#VALUE!</v>
      </c>
      <c r="I50" s="6" t="s">
        <v>10</v>
      </c>
      <c r="J50" s="6">
        <f t="shared" si="4"/>
        <v>0</v>
      </c>
      <c r="L50" s="7">
        <f t="shared" si="5"/>
        <v>0</v>
      </c>
      <c r="M50" s="4" t="s">
        <v>12</v>
      </c>
      <c r="N50" s="1" t="e">
        <f t="shared" si="7"/>
        <v>#VALUE!</v>
      </c>
      <c r="O50" s="1">
        <f t="shared" si="7"/>
        <v>0</v>
      </c>
    </row>
    <row r="51" spans="4:15">
      <c r="G51" s="6" t="s">
        <v>9</v>
      </c>
      <c r="H51" s="6">
        <f t="shared" si="3"/>
        <v>0</v>
      </c>
      <c r="I51" s="6" t="s">
        <v>10</v>
      </c>
      <c r="N51" s="1">
        <f t="shared" si="7"/>
        <v>0</v>
      </c>
      <c r="O51" s="1">
        <f t="shared" si="7"/>
        <v>0</v>
      </c>
    </row>
    <row r="52" spans="4:15">
      <c r="G52" s="6" t="s">
        <v>9</v>
      </c>
      <c r="H52" s="6">
        <f t="shared" si="3"/>
        <v>0</v>
      </c>
      <c r="I52" s="6" t="s">
        <v>10</v>
      </c>
      <c r="N52" s="1">
        <f t="shared" si="7"/>
        <v>0</v>
      </c>
      <c r="O52" s="1">
        <f t="shared" si="7"/>
        <v>0</v>
      </c>
    </row>
    <row r="53" spans="4:15">
      <c r="G53" s="6" t="s">
        <v>9</v>
      </c>
      <c r="H53" s="6">
        <f t="shared" si="3"/>
        <v>0</v>
      </c>
      <c r="I53" s="6" t="s">
        <v>10</v>
      </c>
      <c r="N53" s="1">
        <f t="shared" si="7"/>
        <v>0</v>
      </c>
      <c r="O53" s="1">
        <f t="shared" si="7"/>
        <v>0</v>
      </c>
    </row>
    <row r="54" spans="4:15">
      <c r="G54" s="6" t="s">
        <v>9</v>
      </c>
      <c r="H54" s="6">
        <f t="shared" si="3"/>
        <v>0</v>
      </c>
      <c r="I54" s="6" t="s">
        <v>10</v>
      </c>
      <c r="N54" s="1">
        <f t="shared" si="7"/>
        <v>0</v>
      </c>
      <c r="O54" s="1">
        <f t="shared" si="7"/>
        <v>0</v>
      </c>
    </row>
    <row r="55" spans="4:15">
      <c r="G55" s="6" t="s">
        <v>9</v>
      </c>
      <c r="H55" s="6">
        <f t="shared" si="3"/>
        <v>0</v>
      </c>
      <c r="I55" s="6" t="s">
        <v>10</v>
      </c>
      <c r="N55" s="1">
        <f t="shared" si="7"/>
        <v>0</v>
      </c>
      <c r="O55" s="1">
        <f t="shared" si="7"/>
        <v>0</v>
      </c>
    </row>
    <row r="56" spans="4:15">
      <c r="G56" s="6" t="s">
        <v>9</v>
      </c>
      <c r="H56" s="6">
        <f t="shared" si="3"/>
        <v>0</v>
      </c>
      <c r="I56" s="6" t="s">
        <v>10</v>
      </c>
      <c r="N56" s="1">
        <f t="shared" si="7"/>
        <v>0</v>
      </c>
      <c r="O56" s="1">
        <f t="shared" si="7"/>
        <v>0</v>
      </c>
    </row>
    <row r="57" spans="4:15">
      <c r="G57" s="6" t="s">
        <v>9</v>
      </c>
      <c r="H57" s="6">
        <f t="shared" si="3"/>
        <v>0</v>
      </c>
      <c r="I57" s="6" t="s">
        <v>10</v>
      </c>
      <c r="N57" s="1">
        <f t="shared" si="7"/>
        <v>0</v>
      </c>
      <c r="O57" s="1">
        <f t="shared" si="7"/>
        <v>0</v>
      </c>
    </row>
    <row r="58" spans="4:15">
      <c r="G58" s="6" t="s">
        <v>9</v>
      </c>
      <c r="H58" s="6">
        <f t="shared" si="3"/>
        <v>0</v>
      </c>
      <c r="I58" s="6" t="s">
        <v>10</v>
      </c>
      <c r="N58" s="1">
        <f t="shared" si="7"/>
        <v>0</v>
      </c>
      <c r="O58" s="1">
        <f t="shared" si="7"/>
        <v>0</v>
      </c>
    </row>
    <row r="59" spans="4:15">
      <c r="G59" s="6" t="s">
        <v>9</v>
      </c>
      <c r="H59" s="6">
        <f t="shared" si="3"/>
        <v>0</v>
      </c>
      <c r="I59" s="6" t="s">
        <v>10</v>
      </c>
      <c r="N59" s="1">
        <f t="shared" si="7"/>
        <v>0</v>
      </c>
      <c r="O59" s="1">
        <f t="shared" si="7"/>
        <v>0</v>
      </c>
    </row>
    <row r="60" spans="4:15">
      <c r="G60" s="6" t="s">
        <v>9</v>
      </c>
      <c r="H60" s="6">
        <f t="shared" si="3"/>
        <v>0</v>
      </c>
      <c r="I60" s="6" t="s">
        <v>10</v>
      </c>
      <c r="N60" s="1">
        <f t="shared" si="7"/>
        <v>0</v>
      </c>
      <c r="O60" s="1">
        <f t="shared" si="7"/>
        <v>0</v>
      </c>
    </row>
    <row r="61" spans="4:15">
      <c r="G61" s="6" t="s">
        <v>9</v>
      </c>
      <c r="H61" s="6">
        <f t="shared" si="3"/>
        <v>0</v>
      </c>
      <c r="I61" s="6" t="s">
        <v>10</v>
      </c>
      <c r="N61" s="1">
        <f t="shared" si="7"/>
        <v>0</v>
      </c>
      <c r="O61" s="1">
        <f t="shared" si="7"/>
        <v>0</v>
      </c>
    </row>
    <row r="62" spans="4:15">
      <c r="G62" s="6" t="s">
        <v>9</v>
      </c>
      <c r="H62" s="6">
        <f t="shared" si="3"/>
        <v>0</v>
      </c>
      <c r="I62" s="6" t="s">
        <v>10</v>
      </c>
      <c r="N62" s="1">
        <f t="shared" si="7"/>
        <v>0</v>
      </c>
      <c r="O62" s="1">
        <f t="shared" si="7"/>
        <v>0</v>
      </c>
    </row>
    <row r="63" spans="4:15">
      <c r="G63" s="6" t="s">
        <v>9</v>
      </c>
      <c r="H63" s="6">
        <f t="shared" si="3"/>
        <v>0</v>
      </c>
      <c r="I63" s="6" t="s">
        <v>10</v>
      </c>
      <c r="N63" s="1">
        <f t="shared" si="7"/>
        <v>0</v>
      </c>
      <c r="O63" s="1">
        <f t="shared" si="7"/>
        <v>0</v>
      </c>
    </row>
    <row r="64" spans="4:15">
      <c r="G64" s="6" t="s">
        <v>9</v>
      </c>
      <c r="H64" s="6">
        <f t="shared" si="3"/>
        <v>0</v>
      </c>
      <c r="I64" s="6" t="s">
        <v>10</v>
      </c>
      <c r="N64" s="1">
        <f t="shared" si="7"/>
        <v>0</v>
      </c>
      <c r="O64" s="1">
        <f t="shared" si="7"/>
        <v>0</v>
      </c>
    </row>
    <row r="65" spans="9:15">
      <c r="I65" s="6" t="s">
        <v>10</v>
      </c>
      <c r="N65" s="1">
        <f t="shared" si="7"/>
        <v>0</v>
      </c>
      <c r="O65" s="1">
        <f t="shared" si="7"/>
        <v>0</v>
      </c>
    </row>
    <row r="66" spans="9:15">
      <c r="N66" s="1">
        <f t="shared" si="7"/>
        <v>0</v>
      </c>
      <c r="O66" s="1">
        <f t="shared" si="7"/>
        <v>0</v>
      </c>
    </row>
    <row r="67" spans="9:15">
      <c r="N67" s="1">
        <f t="shared" si="7"/>
        <v>0</v>
      </c>
    </row>
    <row r="68" spans="9:15">
      <c r="N68" s="1">
        <f t="shared" si="7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2026-07-16T13:45:31Z</dcterms:modified>
</cp:coreProperties>
</file>